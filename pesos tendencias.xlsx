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enica.villalva.01\Downloads\"/>
    </mc:Choice>
  </mc:AlternateContent>
  <xr:revisionPtr revIDLastSave="0" documentId="13_ncr:1_{2088FA64-D537-43ED-90D2-9C942DF734A1}" xr6:coauthVersionLast="47" xr6:coauthVersionMax="47" xr10:uidLastSave="{00000000-0000-0000-0000-000000000000}"/>
  <bookViews>
    <workbookView xWindow="-110" yWindow="-110" windowWidth="25820" windowHeight="15500" xr2:uid="{82822013-834D-491D-8CDA-BE63FF87C80D}"/>
  </bookViews>
  <sheets>
    <sheet name="ANÁLISIS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3" i="1" l="1"/>
  <c r="D73" i="1"/>
  <c r="F73" i="1" s="1"/>
  <c r="E69" i="1" s="1"/>
  <c r="F67" i="1"/>
  <c r="F66" i="1"/>
  <c r="H65" i="1"/>
  <c r="H64" i="1" s="1"/>
  <c r="F65" i="1"/>
  <c r="E62" i="1"/>
  <c r="F59" i="1"/>
  <c r="F58" i="1"/>
  <c r="H57" i="1"/>
  <c r="F57" i="1"/>
  <c r="F54" i="1" a="1"/>
  <c r="F53" i="1" a="1"/>
  <c r="H52" i="1"/>
  <c r="G52" i="1"/>
  <c r="E44" i="1"/>
  <c r="F43" i="1"/>
  <c r="F42" i="1"/>
  <c r="E39" i="1" s="1"/>
  <c r="E36" i="1"/>
  <c r="H35" i="1"/>
  <c r="F35" i="1"/>
  <c r="F34" i="1"/>
  <c r="J33" i="1"/>
  <c r="H33" i="1"/>
  <c r="E31" i="1"/>
  <c r="F29" i="1" a="1"/>
  <c r="E29" i="1" a="1"/>
  <c r="E16" i="1" s="1"/>
  <c r="G16" i="1" s="1"/>
  <c r="C29" i="1" a="1"/>
  <c r="H14" i="1"/>
  <c r="F14" i="1"/>
  <c r="F13" i="1"/>
  <c r="F12" i="1"/>
  <c r="E9" i="1"/>
  <c r="L8" i="1"/>
  <c r="A5" i="1" a="1"/>
  <c r="E52" i="1" l="1"/>
  <c r="F52" i="1" s="1" a="1"/>
  <c r="E49" i="1" l="1" a="1"/>
  <c r="E48" i="1" a="1"/>
  <c r="G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<sst xmlns="http://schemas.openxmlformats.org/spreadsheetml/2006/main" count="134" uniqueCount="71">
  <si>
    <t>Estudio de Tendencias</t>
  </si>
  <si>
    <t>Facultad de Ingeniería y Ciencias Aplicadas</t>
  </si>
  <si>
    <t>Escuela de Gastronomía</t>
  </si>
  <si>
    <t>IA</t>
  </si>
  <si>
    <t xml:space="preserve">Programa Propuesto: </t>
  </si>
  <si>
    <t>TRENDS</t>
  </si>
  <si>
    <t>SEMRUSH</t>
  </si>
  <si>
    <t>BUSQUEDA</t>
  </si>
  <si>
    <t>Semrush</t>
  </si>
  <si>
    <t>Resultado</t>
  </si>
  <si>
    <t>Referencia Facultad</t>
  </si>
  <si>
    <t>Consulta</t>
  </si>
  <si>
    <t>Visión General</t>
  </si>
  <si>
    <t>Palabras</t>
  </si>
  <si>
    <t>Google Trends</t>
  </si>
  <si>
    <t>Conciencia</t>
  </si>
  <si>
    <t>Salud mental</t>
  </si>
  <si>
    <t>Psicopatología</t>
  </si>
  <si>
    <t>Promoción y prevención en salud mental</t>
  </si>
  <si>
    <t>Psicofarmacología</t>
  </si>
  <si>
    <t>Diagnóstico</t>
  </si>
  <si>
    <t>Psicología comunitaria</t>
  </si>
  <si>
    <t>Ética Profesional</t>
  </si>
  <si>
    <t>Psicología educativa</t>
  </si>
  <si>
    <t>Multiculturalidad</t>
  </si>
  <si>
    <t>Psicología del consumidor</t>
  </si>
  <si>
    <t>Diversidad</t>
  </si>
  <si>
    <t>Procesos de cambio</t>
  </si>
  <si>
    <t>Investigación</t>
  </si>
  <si>
    <t>Psicoterapia</t>
  </si>
  <si>
    <t>Comportamiento</t>
  </si>
  <si>
    <t>Psicología de la personalidad</t>
  </si>
  <si>
    <t>Grupos vulnerables</t>
  </si>
  <si>
    <t>Psiquiatría</t>
  </si>
  <si>
    <t>Intervención</t>
  </si>
  <si>
    <t>LINKEDIN</t>
  </si>
  <si>
    <t>LinkedIn Ec</t>
  </si>
  <si>
    <t>Profesionales</t>
  </si>
  <si>
    <t>Anuncios de empleo</t>
  </si>
  <si>
    <t>% Anuncios/ Profesionales</t>
  </si>
  <si>
    <t>Demanda de contratación</t>
  </si>
  <si>
    <t>Baja</t>
  </si>
  <si>
    <t>LinkedIn Latam</t>
  </si>
  <si>
    <t>Moderada</t>
  </si>
  <si>
    <t>COMPETENCIA</t>
  </si>
  <si>
    <t>Competencia</t>
  </si>
  <si>
    <t>Resultado Pres.</t>
  </si>
  <si>
    <t>Resultado Virt.</t>
  </si>
  <si>
    <t xml:space="preserve">Búsqueda </t>
  </si>
  <si>
    <t>Oferta Virtualidad</t>
  </si>
  <si>
    <t>Oferta Presencialidad</t>
  </si>
  <si>
    <t>Alta</t>
  </si>
  <si>
    <t>&gt;= 12,93%</t>
  </si>
  <si>
    <t>&lt; 3</t>
  </si>
  <si>
    <t>&gt;= 3</t>
  </si>
  <si>
    <t>&lt;12,93%</t>
  </si>
  <si>
    <t>MERCADO</t>
  </si>
  <si>
    <t>Mercado</t>
  </si>
  <si>
    <t>Total Ingresos</t>
  </si>
  <si>
    <t>Ventas 12%</t>
  </si>
  <si>
    <t>Ventas 0%</t>
  </si>
  <si>
    <t>GRADUADOS</t>
  </si>
  <si>
    <t># Graduados</t>
  </si>
  <si>
    <t>Carrera</t>
  </si>
  <si>
    <t>Tecnología en Petróleos</t>
  </si>
  <si>
    <t>Variación</t>
  </si>
  <si>
    <t>Var. Promedio</t>
  </si>
  <si>
    <t>&gt;=20%</t>
  </si>
  <si>
    <t>&gt;=1%</t>
  </si>
  <si>
    <t>&lt;1%</t>
  </si>
  <si>
    <t>computación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</si>
</sst>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Century Gothic"/>
      <family val="2"/>
    </font>
    <font>
      <b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8"/>
      <color rgb="FF0D0D0D"/>
      <name val="Segoe UI"/>
      <family val="2"/>
    </font>
    <font>
      <b/>
      <sz val="7"/>
      <color theme="0"/>
      <name val="Century Gothic"/>
      <family val="2"/>
    </font>
    <font>
      <sz val="10"/>
      <color rgb="FFFF0000"/>
      <name val="Century Gothic"/>
      <family val="2"/>
    </font>
    <font>
      <b/>
      <sz val="10"/>
      <color rgb="FFFFFF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/>
        <bgColor rgb="FF000000"/>
      </patternFill>
    </fill>
  </fills>
  <borders count="3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9" fontId="5" fillId="3" borderId="2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0" fontId="3" fillId="5" borderId="0" xfId="0" applyNumberFormat="1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3" fontId="9" fillId="6" borderId="6" xfId="0" applyNumberFormat="1" applyFont="1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10" fontId="7" fillId="2" borderId="7" xfId="2" applyNumberFormat="1" applyFont="1" applyFill="1" applyBorder="1" applyAlignment="1">
      <alignment horizontal="center" vertical="center"/>
    </xf>
    <xf numFmtId="10" fontId="7" fillId="2" borderId="1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0" fontId="8" fillId="4" borderId="7" xfId="0" applyFont="1" applyFill="1" applyBorder="1" applyAlignment="1">
      <alignment vertical="center"/>
    </xf>
    <xf numFmtId="1" fontId="9" fillId="6" borderId="9" xfId="0" applyNumberFormat="1" applyFont="1" applyFill="1" applyBorder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" fontId="9" fillId="6" borderId="6" xfId="0" applyNumberFormat="1" applyFont="1" applyFill="1" applyBorder="1" applyAlignment="1">
      <alignment horizontal="center" vertical="center"/>
    </xf>
    <xf numFmtId="1" fontId="9" fillId="6" borderId="10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/>
    </xf>
    <xf numFmtId="9" fontId="5" fillId="3" borderId="14" xfId="2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10" fontId="9" fillId="6" borderId="6" xfId="2" applyNumberFormat="1" applyFont="1" applyFill="1" applyBorder="1" applyAlignment="1">
      <alignment horizontal="right" vertical="center"/>
    </xf>
    <xf numFmtId="2" fontId="9" fillId="6" borderId="0" xfId="2" applyNumberFormat="1" applyFont="1" applyFill="1" applyBorder="1" applyAlignment="1">
      <alignment horizontal="right" vertical="center"/>
    </xf>
    <xf numFmtId="0" fontId="8" fillId="4" borderId="18" xfId="0" applyFont="1" applyFill="1" applyBorder="1" applyAlignment="1">
      <alignment horizontal="left" vertical="center"/>
    </xf>
    <xf numFmtId="1" fontId="9" fillId="6" borderId="10" xfId="0" applyNumberFormat="1" applyFont="1" applyFill="1" applyBorder="1" applyAlignment="1">
      <alignment horizontal="right" vertical="center"/>
    </xf>
    <xf numFmtId="10" fontId="7" fillId="2" borderId="18" xfId="2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0" fontId="9" fillId="6" borderId="9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9" fontId="3" fillId="0" borderId="0" xfId="0" applyNumberFormat="1" applyFont="1" applyAlignment="1">
      <alignment vertical="center"/>
    </xf>
    <xf numFmtId="1" fontId="9" fillId="6" borderId="6" xfId="0" applyNumberFormat="1" applyFont="1" applyFill="1" applyBorder="1" applyAlignment="1">
      <alignment horizontal="right" vertical="center"/>
    </xf>
    <xf numFmtId="0" fontId="6" fillId="3" borderId="19" xfId="0" applyFont="1" applyFill="1" applyBorder="1" applyAlignment="1">
      <alignment horizontal="center" vertical="center"/>
    </xf>
    <xf numFmtId="9" fontId="5" fillId="3" borderId="20" xfId="2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5" fillId="3" borderId="21" xfId="2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9" fontId="7" fillId="2" borderId="18" xfId="0" applyNumberFormat="1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164" fontId="9" fillId="6" borderId="9" xfId="1" applyNumberFormat="1" applyFont="1" applyFill="1" applyBorder="1" applyAlignment="1">
      <alignment horizontal="right" vertical="center"/>
    </xf>
    <xf numFmtId="164" fontId="9" fillId="6" borderId="6" xfId="1" applyNumberFormat="1" applyFont="1" applyFill="1" applyBorder="1" applyAlignment="1">
      <alignment horizontal="right" vertical="center"/>
    </xf>
    <xf numFmtId="164" fontId="9" fillId="6" borderId="10" xfId="1" applyNumberFormat="1" applyFont="1" applyFill="1" applyBorder="1" applyAlignment="1">
      <alignment horizontal="right" vertical="center"/>
    </xf>
    <xf numFmtId="0" fontId="13" fillId="0" borderId="0" xfId="0" applyFont="1"/>
    <xf numFmtId="0" fontId="9" fillId="0" borderId="0" xfId="0" applyFont="1"/>
    <xf numFmtId="0" fontId="14" fillId="7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9" fontId="9" fillId="4" borderId="23" xfId="2" applyFont="1" applyFill="1" applyBorder="1" applyAlignment="1">
      <alignment horizontal="center" vertical="center"/>
    </xf>
    <xf numFmtId="9" fontId="7" fillId="2" borderId="18" xfId="2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textRotation="255"/>
    </xf>
    <xf numFmtId="10" fontId="5" fillId="2" borderId="2" xfId="2" applyNumberFormat="1" applyFont="1" applyFill="1" applyBorder="1" applyAlignment="1">
      <alignment horizontal="center" vertical="center"/>
    </xf>
    <xf numFmtId="10" fontId="5" fillId="2" borderId="0" xfId="2" applyNumberFormat="1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textRotation="255"/>
    </xf>
    <xf numFmtId="10" fontId="5" fillId="2" borderId="14" xfId="2" applyNumberFormat="1" applyFont="1" applyFill="1" applyBorder="1" applyAlignment="1">
      <alignment horizontal="center" vertical="center"/>
    </xf>
    <xf numFmtId="10" fontId="5" fillId="2" borderId="16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textRotation="255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menica.villalva.01\Downloads\BackTest.xlsx" TargetMode="External"/><Relationship Id="rId1" Type="http://schemas.openxmlformats.org/officeDocument/2006/relationships/externalLinkPath" Target="Back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UEBA"/>
      <sheetName val="DASH PRUEBA"/>
      <sheetName val="RESUMEN"/>
      <sheetName val="ANÁLISIS"/>
      <sheetName val="ANÁLISIS (2)"/>
      <sheetName val="RESUMEN POSGRADO"/>
      <sheetName val="FACEA"/>
      <sheetName val="ANÁLISIS POS"/>
      <sheetName val="Lista"/>
      <sheetName val="Derecho"/>
      <sheetName val="ANÁLISIS POS (2)"/>
      <sheetName val="FICA"/>
      <sheetName val="DOCTORADO"/>
      <sheetName val="POSDERECHO"/>
      <sheetName val="POSGRADOSALUD"/>
      <sheetName val="POSECONOMETRIA"/>
      <sheetName val="POSPSICOLOGÍA"/>
      <sheetName val="POSFICA"/>
      <sheetName val="POSNEGO"/>
      <sheetName val="POSODONTO"/>
      <sheetName val="POSCOMUNICACION"/>
      <sheetName val="POSGESTION"/>
      <sheetName val="Medicina"/>
      <sheetName val="Odontología"/>
      <sheetName val="Psicología"/>
      <sheetName val="Salud"/>
      <sheetName val="Arquitectura"/>
      <sheetName val="RRII"/>
      <sheetName val="Gastronomia"/>
      <sheetName val="Comunicación"/>
      <sheetName val="Música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 t="str">
            <v>Facultad de Ciencias Económicas y Administrativas</v>
          </cell>
        </row>
        <row r="5">
          <cell r="C5" t="str">
            <v>Carrera de Referencia: Negocios Internacionales</v>
          </cell>
        </row>
      </sheetData>
      <sheetData sheetId="7"/>
      <sheetData sheetId="8"/>
      <sheetData sheetId="9">
        <row r="4">
          <cell r="C4" t="str">
            <v>Facultad de Derecho</v>
          </cell>
        </row>
        <row r="5">
          <cell r="C5" t="str">
            <v>Carrera de Referencia: Derecho</v>
          </cell>
        </row>
      </sheetData>
      <sheetData sheetId="10"/>
      <sheetData sheetId="11">
        <row r="4">
          <cell r="C4" t="str">
            <v>Facultad de Ingeniería y Ciencias Aplicadas</v>
          </cell>
        </row>
        <row r="5">
          <cell r="C5" t="str">
            <v>Carrera de Referencia: Ingeniería en Software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C4" t="str">
            <v>Facultad de Medicina</v>
          </cell>
        </row>
        <row r="5">
          <cell r="C5" t="str">
            <v>Carrera de Referencia: Medicina</v>
          </cell>
        </row>
      </sheetData>
      <sheetData sheetId="23">
        <row r="4">
          <cell r="C4" t="str">
            <v>Facultad de Odontología</v>
          </cell>
        </row>
        <row r="5">
          <cell r="C5" t="str">
            <v>Carrera de Referencia: Odontología</v>
          </cell>
        </row>
      </sheetData>
      <sheetData sheetId="24">
        <row r="4">
          <cell r="C4" t="str">
            <v>Facultad de Psicología y Educación</v>
          </cell>
        </row>
        <row r="5">
          <cell r="C5" t="str">
            <v>Carrera de Referencia: Psicología</v>
          </cell>
        </row>
      </sheetData>
      <sheetData sheetId="25">
        <row r="4">
          <cell r="C4" t="str">
            <v>Facultad de Salud</v>
          </cell>
        </row>
        <row r="5">
          <cell r="C5" t="str">
            <v>Carrera de Referencia: Enfermería</v>
          </cell>
        </row>
      </sheetData>
      <sheetData sheetId="26">
        <row r="4">
          <cell r="C4" t="str">
            <v>Facultad de Arquitectura y Diseño</v>
          </cell>
        </row>
        <row r="5">
          <cell r="C5" t="str">
            <v>Carrera de Referencia: Arquitectura</v>
          </cell>
        </row>
      </sheetData>
      <sheetData sheetId="27">
        <row r="4">
          <cell r="C4" t="str">
            <v>Escuela de Ciencias Políticas y Relacioniones Int.</v>
          </cell>
        </row>
        <row r="5">
          <cell r="C5" t="str">
            <v>Carrera de Referencia: Relaciones Internacionales</v>
          </cell>
        </row>
      </sheetData>
      <sheetData sheetId="28">
        <row r="4">
          <cell r="C4" t="str">
            <v>Escuela de Gastronomía</v>
          </cell>
        </row>
        <row r="5">
          <cell r="C5" t="str">
            <v>Carrera de Referencia: Gastronomía</v>
          </cell>
        </row>
      </sheetData>
      <sheetData sheetId="29">
        <row r="4">
          <cell r="C4" t="str">
            <v>Facultad de Comunicación y Artes Audiovisuales</v>
          </cell>
        </row>
        <row r="5">
          <cell r="C5" t="str">
            <v>Carrera de Referencia: Multimedia y Prod. Audiov</v>
          </cell>
        </row>
      </sheetData>
      <sheetData sheetId="30">
        <row r="4">
          <cell r="C4" t="str">
            <v>Escuela de Música</v>
          </cell>
        </row>
        <row r="5">
          <cell r="C5" t="str">
            <v>Carrera de Referencia: Artes Musicales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78DB-E3C9-4B75-A327-3E8518E1D8FB}">
  <sheetPr>
    <tabColor rgb="FF800000"/>
  </sheetPr>
  <dimension ref="A1:L78"/>
  <sheetViews>
    <sheetView showGridLines="0" tabSelected="1" zoomScale="107" workbookViewId="0">
      <selection activeCell="C8" sqref="C8"/>
    </sheetView>
  </sheetViews>
  <sheetFormatPr baseColWidth="10" defaultColWidth="11.453125" defaultRowHeight="13.5" x14ac:dyDescent="0.35"/>
  <cols>
    <col min="1" max="1" width="6.453125" style="1" customWidth="1"/>
    <col min="2" max="2" width="17.453125" style="1" customWidth="1"/>
    <col min="3" max="3" width="17" style="1" customWidth="1"/>
    <col min="4" max="4" width="17.453125" style="1" customWidth="1"/>
    <col min="5" max="5" width="17" style="1" customWidth="1"/>
    <col min="6" max="6" width="17.54296875" style="1" customWidth="1"/>
    <col min="7" max="14" width="0" style="1" hidden="1" customWidth="1"/>
    <col min="15" max="16384" width="11.453125" style="1"/>
  </cols>
  <sheetData>
    <row r="1" spans="1:12" x14ac:dyDescent="0.35">
      <c r="A1" s="79" t="s">
        <v>0</v>
      </c>
      <c r="B1" s="79"/>
      <c r="C1" s="79"/>
      <c r="D1" s="79"/>
      <c r="E1" s="79"/>
      <c r="F1" s="79"/>
    </row>
    <row r="2" spans="1:12" x14ac:dyDescent="0.35">
      <c r="A2" s="79"/>
      <c r="B2" s="79"/>
      <c r="C2" s="79"/>
      <c r="D2" s="79"/>
      <c r="E2" s="79"/>
      <c r="F2" s="79"/>
    </row>
    <row r="4" spans="1:12" ht="14" x14ac:dyDescent="0.35">
      <c r="A4" s="80" t="s">
        <v>1</v>
      </c>
      <c r="B4" s="80" t="s">
        <v>2</v>
      </c>
      <c r="C4" s="80" t="s">
        <v>2</v>
      </c>
      <c r="D4" s="80" t="s">
        <v>2</v>
      </c>
      <c r="E4" s="80" t="s">
        <v>2</v>
      </c>
      <c r="F4" s="80" t="s">
        <v>2</v>
      </c>
    </row>
    <row r="5" spans="1:12" ht="11.4" customHeight="1" x14ac:dyDescent="0.35">
      <c r="A5" s="81" t="str" cm="1">
        <f t="array" ref="A5">_xlfn.IFS(A4=[1]Música!C4,[1]Música!C5,A4=[1]Gastronomia!C4,[1]Gastronomia!C5,A4=[1]RRII!C4,[1]RRII!C5,A4=[1]FACEA!C4,[1]FACEA!C5,A4=[1]Arquitectura!C4,[1]Arquitectura!C5,A4=[1]Comunicación!C4,[1]Comunicación!C5,A4=[1]Salud!C4,[1]Salud!C5,A4=[1]Psicología!C4,[1]Psicología!C5,A4=[1]Odontología!C4,[1]Odontología!C5,A4=[1]Medicina!C4,[1]Medicina!C5,A4=[1]FICA!C4,[1]FICA!C5,A4=[1]Derecho!C4,[1]Derecho!C5)</f>
        <v>Carrera de Referencia: Ingeniería en Software</v>
      </c>
      <c r="B5" s="81"/>
      <c r="C5" s="81"/>
      <c r="D5" s="81"/>
      <c r="E5" s="81"/>
      <c r="F5" s="81"/>
    </row>
    <row r="6" spans="1:12" x14ac:dyDescent="0.35">
      <c r="K6" s="1" t="s">
        <v>3</v>
      </c>
      <c r="L6" s="1">
        <v>13.58</v>
      </c>
    </row>
    <row r="7" spans="1:12" ht="14" x14ac:dyDescent="0.35">
      <c r="A7" s="82" t="s">
        <v>4</v>
      </c>
      <c r="B7" s="82"/>
      <c r="C7" s="83" t="s">
        <v>70</v>
      </c>
      <c r="D7" s="83"/>
      <c r="E7" s="83"/>
      <c r="F7" s="83"/>
      <c r="K7" s="1" t="s">
        <v>5</v>
      </c>
      <c r="L7" s="1">
        <v>8.57</v>
      </c>
    </row>
    <row r="8" spans="1:12" ht="10" customHeight="1" x14ac:dyDescent="0.35">
      <c r="K8" s="1" t="s">
        <v>6</v>
      </c>
      <c r="L8" s="1">
        <f>1.96*2</f>
        <v>3.92</v>
      </c>
    </row>
    <row r="9" spans="1:12" ht="15" x14ac:dyDescent="0.35">
      <c r="A9" s="84" t="s">
        <v>7</v>
      </c>
      <c r="B9" s="2" t="s">
        <v>8</v>
      </c>
      <c r="C9" s="3">
        <v>0.17499999999999999</v>
      </c>
      <c r="D9" s="4" t="s">
        <v>9</v>
      </c>
      <c r="E9" s="68">
        <f>SUM(F12:F14)</f>
        <v>0.1358</v>
      </c>
      <c r="F9" s="69"/>
      <c r="G9" s="5">
        <f>E9+E16+E31+E39+E48+E62</f>
        <v>0.86010709465912139</v>
      </c>
    </row>
    <row r="10" spans="1:12" ht="4.5" customHeight="1" x14ac:dyDescent="0.35">
      <c r="A10" s="84"/>
    </row>
    <row r="11" spans="1:12" x14ac:dyDescent="0.35">
      <c r="A11" s="84"/>
      <c r="B11" s="85" t="s">
        <v>10</v>
      </c>
      <c r="C11" s="86"/>
      <c r="D11" s="85" t="s">
        <v>11</v>
      </c>
      <c r="E11" s="86"/>
      <c r="F11" s="6" t="s">
        <v>9</v>
      </c>
    </row>
    <row r="12" spans="1:12" x14ac:dyDescent="0.35">
      <c r="A12" s="84"/>
      <c r="B12" s="7" t="s">
        <v>12</v>
      </c>
      <c r="C12" s="8">
        <v>18100</v>
      </c>
      <c r="D12" s="7" t="s">
        <v>12</v>
      </c>
      <c r="E12" s="9">
        <v>0</v>
      </c>
      <c r="F12" s="10">
        <f>IF(((E12*C9)/C12)&gt;1.96%,1.96%,((E12*C9)/C12))</f>
        <v>0</v>
      </c>
    </row>
    <row r="13" spans="1:12" x14ac:dyDescent="0.35">
      <c r="A13" s="84"/>
      <c r="B13" s="7" t="s">
        <v>13</v>
      </c>
      <c r="C13" s="8">
        <v>83204</v>
      </c>
      <c r="D13" s="7" t="s">
        <v>13</v>
      </c>
      <c r="E13" s="9">
        <v>0</v>
      </c>
      <c r="F13" s="11">
        <f>IF(((E13*C9)/C13)&gt;1.96%,1.96%,((E13*C9)/C13))</f>
        <v>0</v>
      </c>
    </row>
    <row r="14" spans="1:12" x14ac:dyDescent="0.35">
      <c r="A14" s="84"/>
      <c r="B14" s="7" t="s">
        <v>3</v>
      </c>
      <c r="C14" s="8">
        <v>12</v>
      </c>
      <c r="D14" s="7" t="s">
        <v>3</v>
      </c>
      <c r="E14" s="9">
        <v>20</v>
      </c>
      <c r="F14" s="11">
        <f>IF(((E14*C9)/C14)&gt;13.58%,13.58%,((E14*C9)/C14))</f>
        <v>0.1358</v>
      </c>
      <c r="H14" s="1">
        <f>3.92+13.58</f>
        <v>17.5</v>
      </c>
    </row>
    <row r="15" spans="1:12" x14ac:dyDescent="0.35">
      <c r="A15" s="84"/>
      <c r="B15" s="12"/>
      <c r="C15" s="12"/>
      <c r="D15" s="12"/>
      <c r="E15" s="12"/>
      <c r="F15" s="12"/>
    </row>
    <row r="16" spans="1:12" ht="15" x14ac:dyDescent="0.35">
      <c r="A16" s="84"/>
      <c r="B16" s="2" t="s">
        <v>14</v>
      </c>
      <c r="C16" s="3">
        <v>8.5699999999999998E-2</v>
      </c>
      <c r="D16" s="13" t="s">
        <v>9</v>
      </c>
      <c r="E16" s="68">
        <f>IF(E29&gt;C29,8.57%,(E29*C16)/C29)</f>
        <v>8.5699999999999998E-2</v>
      </c>
      <c r="F16" s="69"/>
      <c r="G16" s="14">
        <f>E16+E9</f>
        <v>0.2215</v>
      </c>
    </row>
    <row r="17" spans="1:6" ht="4.5" customHeight="1" x14ac:dyDescent="0.35">
      <c r="A17" s="84"/>
    </row>
    <row r="18" spans="1:6" x14ac:dyDescent="0.35">
      <c r="A18" s="84"/>
      <c r="B18" s="74" t="s">
        <v>10</v>
      </c>
      <c r="C18" s="75"/>
      <c r="D18" s="74" t="s">
        <v>11</v>
      </c>
      <c r="E18" s="74"/>
    </row>
    <row r="19" spans="1:6" x14ac:dyDescent="0.35">
      <c r="A19" s="84"/>
      <c r="B19" s="15" t="s">
        <v>15</v>
      </c>
      <c r="C19" s="16">
        <v>19.784313725490197</v>
      </c>
      <c r="D19" s="15" t="s">
        <v>16</v>
      </c>
      <c r="E19" s="17">
        <v>2.92</v>
      </c>
      <c r="F19" s="18"/>
    </row>
    <row r="20" spans="1:6" x14ac:dyDescent="0.35">
      <c r="A20" s="84"/>
      <c r="B20" s="7" t="s">
        <v>17</v>
      </c>
      <c r="C20" s="19">
        <v>11.176470588235293</v>
      </c>
      <c r="D20" s="7" t="s">
        <v>18</v>
      </c>
      <c r="E20" s="17">
        <v>1.88</v>
      </c>
      <c r="F20" s="18"/>
    </row>
    <row r="21" spans="1:6" x14ac:dyDescent="0.35">
      <c r="A21" s="84"/>
      <c r="B21" s="7" t="s">
        <v>19</v>
      </c>
      <c r="C21" s="19">
        <v>10.274509803921569</v>
      </c>
      <c r="D21" s="7" t="s">
        <v>20</v>
      </c>
      <c r="E21" s="17">
        <v>62.16</v>
      </c>
      <c r="F21" s="18"/>
    </row>
    <row r="22" spans="1:6" x14ac:dyDescent="0.35">
      <c r="A22" s="84"/>
      <c r="B22" s="7" t="s">
        <v>21</v>
      </c>
      <c r="C22" s="19">
        <v>7.8627450980392153</v>
      </c>
      <c r="D22" s="7" t="s">
        <v>22</v>
      </c>
      <c r="E22" s="17">
        <v>21.47</v>
      </c>
      <c r="F22" s="18"/>
    </row>
    <row r="23" spans="1:6" x14ac:dyDescent="0.35">
      <c r="A23" s="84"/>
      <c r="B23" s="7" t="s">
        <v>23</v>
      </c>
      <c r="C23" s="19">
        <v>8.1960784313725483</v>
      </c>
      <c r="D23" s="7" t="s">
        <v>24</v>
      </c>
      <c r="E23" s="17">
        <v>9.3000000000000007</v>
      </c>
      <c r="F23" s="18"/>
    </row>
    <row r="24" spans="1:6" x14ac:dyDescent="0.35">
      <c r="A24" s="84"/>
      <c r="B24" s="7" t="s">
        <v>25</v>
      </c>
      <c r="C24" s="19">
        <v>8.2549019607843146</v>
      </c>
      <c r="D24" s="7" t="s">
        <v>26</v>
      </c>
      <c r="E24" s="17">
        <v>66.599999999999994</v>
      </c>
      <c r="F24" s="18"/>
    </row>
    <row r="25" spans="1:6" x14ac:dyDescent="0.35">
      <c r="A25" s="84"/>
      <c r="B25" s="7" t="s">
        <v>27</v>
      </c>
      <c r="C25" s="19">
        <v>10.294117647058824</v>
      </c>
      <c r="D25" s="7" t="s">
        <v>28</v>
      </c>
      <c r="E25" s="17">
        <v>54.66</v>
      </c>
      <c r="F25" s="18"/>
    </row>
    <row r="26" spans="1:6" x14ac:dyDescent="0.35">
      <c r="A26" s="84"/>
      <c r="B26" s="7" t="s">
        <v>29</v>
      </c>
      <c r="C26" s="19">
        <v>11.431372549019608</v>
      </c>
      <c r="D26" s="7" t="s">
        <v>30</v>
      </c>
      <c r="E26" s="17">
        <v>69.540000000000006</v>
      </c>
      <c r="F26" s="18"/>
    </row>
    <row r="27" spans="1:6" x14ac:dyDescent="0.35">
      <c r="A27" s="84"/>
      <c r="B27" s="7" t="s">
        <v>31</v>
      </c>
      <c r="C27" s="19">
        <v>6.4509803921568629</v>
      </c>
      <c r="D27" s="7" t="s">
        <v>32</v>
      </c>
      <c r="E27" s="17">
        <v>17.690000000000001</v>
      </c>
      <c r="F27" s="18"/>
    </row>
    <row r="28" spans="1:6" x14ac:dyDescent="0.35">
      <c r="A28" s="84"/>
      <c r="B28" s="7" t="s">
        <v>33</v>
      </c>
      <c r="C28" s="20">
        <v>10.137254901960784</v>
      </c>
      <c r="D28" s="7" t="s">
        <v>34</v>
      </c>
      <c r="E28" s="21">
        <v>48.62</v>
      </c>
      <c r="F28" s="12"/>
    </row>
    <row r="29" spans="1:6" x14ac:dyDescent="0.35">
      <c r="A29" s="84"/>
      <c r="B29" s="22" t="s">
        <v>9</v>
      </c>
      <c r="C29" s="23" cm="1">
        <f t="array" ref="C29">AVERAGE(LARGE(C19:C28,{1;2;3;4;5;6}))</f>
        <v>12.183006535947712</v>
      </c>
      <c r="D29" s="24" t="s">
        <v>9</v>
      </c>
      <c r="E29" s="23" cm="1">
        <f t="array" ref="E29">AVERAGE(LARGE(E19:E28,{1;2;3;4;5;6}))</f>
        <v>53.841666666666661</v>
      </c>
      <c r="F29" s="23" t="e" cm="1">
        <f t="array" ref="F29">AVERAGE(LARGE(F19:F28,{1;2;3;4;5;6}))</f>
        <v>#NUM!</v>
      </c>
    </row>
    <row r="30" spans="1:6" x14ac:dyDescent="0.35">
      <c r="B30" s="12"/>
      <c r="C30" s="12"/>
      <c r="D30" s="12"/>
      <c r="E30" s="12"/>
      <c r="F30" s="12"/>
    </row>
    <row r="31" spans="1:6" ht="16.5" customHeight="1" x14ac:dyDescent="0.35">
      <c r="A31" s="67" t="s">
        <v>35</v>
      </c>
      <c r="B31" s="25" t="s">
        <v>36</v>
      </c>
      <c r="C31" s="26">
        <v>0.19239999999999999</v>
      </c>
      <c r="D31" s="27" t="s">
        <v>9</v>
      </c>
      <c r="E31" s="77">
        <f>SUM(F34:F36)</f>
        <v>0.19240000000000002</v>
      </c>
      <c r="F31" s="78"/>
    </row>
    <row r="32" spans="1:6" ht="4.5" customHeight="1" x14ac:dyDescent="0.35">
      <c r="A32" s="67"/>
      <c r="B32" s="12"/>
      <c r="C32" s="12"/>
      <c r="D32" s="12"/>
      <c r="E32" s="12"/>
      <c r="F32" s="12"/>
    </row>
    <row r="33" spans="1:10" x14ac:dyDescent="0.35">
      <c r="A33" s="67"/>
      <c r="B33" s="74" t="s">
        <v>10</v>
      </c>
      <c r="C33" s="74"/>
      <c r="D33" s="74" t="s">
        <v>11</v>
      </c>
      <c r="E33" s="74"/>
      <c r="F33" s="28" t="s">
        <v>9</v>
      </c>
      <c r="H33" s="1">
        <f>14.04/2</f>
        <v>7.02</v>
      </c>
      <c r="J33" s="1">
        <f>14.04+24.44</f>
        <v>38.480000000000004</v>
      </c>
    </row>
    <row r="34" spans="1:10" x14ac:dyDescent="0.35">
      <c r="A34" s="67"/>
      <c r="B34" s="29" t="s">
        <v>37</v>
      </c>
      <c r="C34" s="8">
        <v>4862</v>
      </c>
      <c r="D34" s="30" t="s">
        <v>37</v>
      </c>
      <c r="E34" s="31">
        <v>13741</v>
      </c>
      <c r="F34" s="10">
        <f>IF(((E34*C31)/C34)&gt;7.02%,7.02%,((E34*C31)/C34))</f>
        <v>7.0199999999999999E-2</v>
      </c>
    </row>
    <row r="35" spans="1:10" x14ac:dyDescent="0.35">
      <c r="A35" s="67"/>
      <c r="B35" s="32" t="s">
        <v>38</v>
      </c>
      <c r="C35" s="8">
        <v>1</v>
      </c>
      <c r="D35" s="33" t="s">
        <v>38</v>
      </c>
      <c r="E35" s="31">
        <v>4</v>
      </c>
      <c r="F35" s="11">
        <f>IF(((E35*C31)/C35)&gt;12.22%,12.22%,((E35*C31)/C35))</f>
        <v>0.1222</v>
      </c>
      <c r="H35" s="1">
        <f>24.44/2</f>
        <v>12.22</v>
      </c>
    </row>
    <row r="36" spans="1:10" x14ac:dyDescent="0.35">
      <c r="A36" s="67"/>
      <c r="B36" s="32" t="s">
        <v>39</v>
      </c>
      <c r="C36" s="34">
        <v>2.0567667626491157E-4</v>
      </c>
      <c r="D36" s="33" t="s">
        <v>39</v>
      </c>
      <c r="E36" s="35">
        <f>E35/E34</f>
        <v>2.9109962884797322E-4</v>
      </c>
      <c r="F36" s="11">
        <v>0</v>
      </c>
    </row>
    <row r="37" spans="1:10" x14ac:dyDescent="0.35">
      <c r="A37" s="67"/>
      <c r="B37" s="36" t="s">
        <v>40</v>
      </c>
      <c r="C37" s="37" t="s">
        <v>41</v>
      </c>
      <c r="D37" s="36" t="s">
        <v>40</v>
      </c>
      <c r="E37" s="31" t="s">
        <v>41</v>
      </c>
      <c r="F37" s="38"/>
    </row>
    <row r="38" spans="1:10" x14ac:dyDescent="0.35">
      <c r="A38" s="67"/>
    </row>
    <row r="39" spans="1:10" ht="15" x14ac:dyDescent="0.35">
      <c r="A39" s="67"/>
      <c r="B39" s="25" t="s">
        <v>42</v>
      </c>
      <c r="C39" s="26">
        <v>0.19239999999999999</v>
      </c>
      <c r="D39" s="27" t="s">
        <v>9</v>
      </c>
      <c r="E39" s="77">
        <f>SUM(F42:F44)</f>
        <v>0.19240000000000002</v>
      </c>
      <c r="F39" s="78"/>
    </row>
    <row r="40" spans="1:10" ht="9" customHeight="1" x14ac:dyDescent="0.35">
      <c r="A40" s="67"/>
      <c r="B40" s="12"/>
      <c r="C40" s="12"/>
      <c r="D40" s="12"/>
      <c r="E40" s="12"/>
      <c r="F40" s="12"/>
    </row>
    <row r="41" spans="1:10" x14ac:dyDescent="0.35">
      <c r="A41" s="67"/>
      <c r="B41" s="74" t="s">
        <v>10</v>
      </c>
      <c r="C41" s="74"/>
      <c r="D41" s="74" t="s">
        <v>11</v>
      </c>
      <c r="E41" s="74"/>
      <c r="F41" s="28" t="s">
        <v>9</v>
      </c>
    </row>
    <row r="42" spans="1:10" x14ac:dyDescent="0.35">
      <c r="A42" s="67"/>
      <c r="B42" s="29" t="s">
        <v>37</v>
      </c>
      <c r="C42" s="8">
        <v>141360</v>
      </c>
      <c r="D42" s="30" t="s">
        <v>37</v>
      </c>
      <c r="E42" s="31">
        <v>5802040</v>
      </c>
      <c r="F42" s="10">
        <f>IF(((E42*C39)/C42)&gt;7.02%,7.02%,((E42*C39)/C42))</f>
        <v>7.0199999999999999E-2</v>
      </c>
    </row>
    <row r="43" spans="1:10" x14ac:dyDescent="0.35">
      <c r="A43" s="67"/>
      <c r="B43" s="32" t="s">
        <v>38</v>
      </c>
      <c r="C43" s="8">
        <v>135</v>
      </c>
      <c r="D43" s="33" t="s">
        <v>38</v>
      </c>
      <c r="E43" s="31">
        <v>476</v>
      </c>
      <c r="F43" s="11">
        <f>IF(((E43*C39)/C43)&gt;12.22%,12.22%,((E43*C39)/C43))</f>
        <v>0.1222</v>
      </c>
    </row>
    <row r="44" spans="1:10" ht="16.5" customHeight="1" x14ac:dyDescent="0.35">
      <c r="A44" s="67"/>
      <c r="B44" s="32" t="s">
        <v>39</v>
      </c>
      <c r="C44" s="34">
        <v>9.5500848896434636E-4</v>
      </c>
      <c r="D44" s="33" t="s">
        <v>39</v>
      </c>
      <c r="E44" s="34">
        <f>E43/E42</f>
        <v>8.2040110030265221E-5</v>
      </c>
      <c r="F44" s="11">
        <v>0</v>
      </c>
    </row>
    <row r="45" spans="1:10" ht="16.5" customHeight="1" x14ac:dyDescent="0.35">
      <c r="A45" s="67"/>
      <c r="B45" s="36" t="s">
        <v>40</v>
      </c>
      <c r="C45" s="37" t="s">
        <v>43</v>
      </c>
      <c r="D45" s="36" t="s">
        <v>40</v>
      </c>
      <c r="E45" s="39" t="s">
        <v>41</v>
      </c>
      <c r="F45" s="38"/>
    </row>
    <row r="46" spans="1:10" x14ac:dyDescent="0.35">
      <c r="B46" s="12"/>
      <c r="C46" s="12"/>
      <c r="D46" s="12"/>
      <c r="E46" s="12"/>
      <c r="F46" s="12"/>
    </row>
    <row r="47" spans="1:10" x14ac:dyDescent="0.35">
      <c r="B47" s="12"/>
      <c r="C47" s="12"/>
      <c r="D47" s="12"/>
      <c r="E47" s="12"/>
      <c r="F47" s="12"/>
    </row>
    <row r="48" spans="1:10" ht="15" x14ac:dyDescent="0.35">
      <c r="A48" s="67" t="s">
        <v>44</v>
      </c>
      <c r="B48" s="2" t="s">
        <v>45</v>
      </c>
      <c r="C48" s="3">
        <v>0.1293</v>
      </c>
      <c r="D48" s="4" t="s">
        <v>46</v>
      </c>
      <c r="E48" s="68" cm="1">
        <f t="array" ref="E48">_xlfn.IFS(AND(F52="Alta",F54="Baja"),F57,AND(F52="Alta",F54="Alta"),F58,AND(F52="Baja",F54="Alta"),F59,AND(F52="Baja",F54="Baja"),F60)</f>
        <v>9.6900000000000014E-2</v>
      </c>
      <c r="F48" s="69"/>
    </row>
    <row r="49" spans="1:8" ht="15" x14ac:dyDescent="0.35">
      <c r="A49" s="67"/>
      <c r="B49" s="40"/>
      <c r="C49" s="40"/>
      <c r="D49" s="4" t="s">
        <v>47</v>
      </c>
      <c r="E49" s="68" cm="1">
        <f t="array" ref="E49">_xlfn.IFS(AND(F52="Alta",F53="Baja"),F57,AND(F52="Alta",F53="Alta"),F58,AND(F52="Baja",F53="Alta"),F59,AND(F52="Baja",F53="Baja"),F60)</f>
        <v>9.6900000000000014E-2</v>
      </c>
      <c r="F49" s="69"/>
    </row>
    <row r="50" spans="1:8" ht="4.5" customHeight="1" x14ac:dyDescent="0.35">
      <c r="A50" s="67"/>
      <c r="B50" s="40"/>
      <c r="C50" s="40"/>
    </row>
    <row r="51" spans="1:8" x14ac:dyDescent="0.35">
      <c r="A51" s="67"/>
      <c r="B51" s="40"/>
      <c r="C51" s="40"/>
      <c r="D51" s="74" t="s">
        <v>11</v>
      </c>
      <c r="E51" s="75"/>
      <c r="F51" s="41" t="s">
        <v>9</v>
      </c>
    </row>
    <row r="52" spans="1:8" x14ac:dyDescent="0.35">
      <c r="A52" s="67"/>
      <c r="B52" s="40"/>
      <c r="C52" s="40"/>
      <c r="D52" s="32" t="s">
        <v>48</v>
      </c>
      <c r="E52" s="42">
        <f>E9+E16</f>
        <v>0.2215</v>
      </c>
      <c r="F52" s="43" t="str" cm="1">
        <f t="array" ref="F52">_xlfn.IFS(E52&gt;=22%,B57,E52&lt;22%,B59)</f>
        <v>Alta</v>
      </c>
      <c r="G52" s="44">
        <f>C9+C16</f>
        <v>0.26069999999999999</v>
      </c>
      <c r="H52" s="42">
        <f>H9+H16</f>
        <v>0</v>
      </c>
    </row>
    <row r="53" spans="1:8" x14ac:dyDescent="0.35">
      <c r="A53" s="67"/>
      <c r="B53" s="40"/>
      <c r="C53" s="40"/>
      <c r="D53" s="32" t="s">
        <v>49</v>
      </c>
      <c r="E53" s="45">
        <v>3</v>
      </c>
      <c r="F53" s="43" t="str" cm="1">
        <f t="array" ref="F53">_xlfn.IFS(E53&lt;3,C57,E53&gt;=3,C59)</f>
        <v>Alta</v>
      </c>
    </row>
    <row r="54" spans="1:8" x14ac:dyDescent="0.35">
      <c r="A54" s="67"/>
      <c r="B54" s="40"/>
      <c r="C54" s="40"/>
      <c r="D54" s="36" t="s">
        <v>50</v>
      </c>
      <c r="E54" s="37">
        <v>6</v>
      </c>
      <c r="F54" s="41" t="str" cm="1">
        <f t="array" ref="F54">_xlfn.IFS(E54&lt;3,C57,E54&gt;=3,C59)</f>
        <v>Alta</v>
      </c>
    </row>
    <row r="55" spans="1:8" x14ac:dyDescent="0.35">
      <c r="A55" s="67"/>
      <c r="B55" s="40"/>
      <c r="C55" s="40"/>
      <c r="D55" s="12"/>
      <c r="E55" s="12"/>
      <c r="F55" s="12"/>
    </row>
    <row r="56" spans="1:8" ht="15" x14ac:dyDescent="0.35">
      <c r="A56" s="67"/>
      <c r="B56" s="46" t="s">
        <v>48</v>
      </c>
      <c r="C56" s="47" t="s">
        <v>45</v>
      </c>
      <c r="D56" s="48" t="s">
        <v>48</v>
      </c>
      <c r="E56" s="49" t="s">
        <v>45</v>
      </c>
      <c r="F56" s="41" t="s">
        <v>9</v>
      </c>
    </row>
    <row r="57" spans="1:8" x14ac:dyDescent="0.35">
      <c r="A57" s="67"/>
      <c r="B57" s="50" t="s">
        <v>51</v>
      </c>
      <c r="C57" s="51" t="s">
        <v>41</v>
      </c>
      <c r="D57" s="51" t="s">
        <v>52</v>
      </c>
      <c r="E57" s="52" t="s">
        <v>53</v>
      </c>
      <c r="F57" s="53">
        <f>3.23%*4</f>
        <v>0.12920000000000001</v>
      </c>
      <c r="H57" s="1">
        <f>12.93/4</f>
        <v>3.2324999999999999</v>
      </c>
    </row>
    <row r="58" spans="1:8" x14ac:dyDescent="0.35">
      <c r="A58" s="67"/>
      <c r="B58" s="50" t="s">
        <v>51</v>
      </c>
      <c r="C58" s="51" t="s">
        <v>51</v>
      </c>
      <c r="D58" s="51" t="s">
        <v>52</v>
      </c>
      <c r="E58" s="52" t="s">
        <v>54</v>
      </c>
      <c r="F58" s="53">
        <f>3.23%*3</f>
        <v>9.6900000000000014E-2</v>
      </c>
    </row>
    <row r="59" spans="1:8" x14ac:dyDescent="0.35">
      <c r="A59" s="67"/>
      <c r="B59" s="50" t="s">
        <v>41</v>
      </c>
      <c r="C59" s="51" t="s">
        <v>51</v>
      </c>
      <c r="D59" s="51" t="s">
        <v>55</v>
      </c>
      <c r="E59" s="52" t="s">
        <v>54</v>
      </c>
      <c r="F59" s="53">
        <f>3.23%*2</f>
        <v>6.4600000000000005E-2</v>
      </c>
    </row>
    <row r="60" spans="1:8" x14ac:dyDescent="0.35">
      <c r="A60" s="67"/>
      <c r="B60" s="54" t="s">
        <v>41</v>
      </c>
      <c r="C60" s="55" t="s">
        <v>41</v>
      </c>
      <c r="D60" s="55" t="s">
        <v>55</v>
      </c>
      <c r="E60" s="56" t="s">
        <v>53</v>
      </c>
      <c r="F60" s="53">
        <v>3.2300000000000002E-2</v>
      </c>
    </row>
    <row r="61" spans="1:8" x14ac:dyDescent="0.35">
      <c r="B61" s="12"/>
      <c r="C61" s="12"/>
      <c r="D61" s="12"/>
      <c r="E61" s="12"/>
      <c r="F61" s="12"/>
    </row>
    <row r="62" spans="1:8" ht="15" x14ac:dyDescent="0.35">
      <c r="A62" s="76" t="s">
        <v>56</v>
      </c>
      <c r="B62" s="2" t="s">
        <v>57</v>
      </c>
      <c r="C62" s="3">
        <v>0.22509999999999999</v>
      </c>
      <c r="D62" s="4" t="s">
        <v>9</v>
      </c>
      <c r="E62" s="68">
        <f>SUM(F65:F67)</f>
        <v>0.15690709465912131</v>
      </c>
      <c r="F62" s="69"/>
    </row>
    <row r="63" spans="1:8" ht="4.5" customHeight="1" x14ac:dyDescent="0.35">
      <c r="A63" s="76"/>
    </row>
    <row r="64" spans="1:8" x14ac:dyDescent="0.35">
      <c r="A64" s="76"/>
      <c r="B64" s="74" t="s">
        <v>10</v>
      </c>
      <c r="C64" s="75"/>
      <c r="D64" s="74" t="s">
        <v>11</v>
      </c>
      <c r="E64" s="74"/>
      <c r="F64" s="41" t="s">
        <v>9</v>
      </c>
      <c r="H64" s="1">
        <f>H65+H66+H67</f>
        <v>22.51</v>
      </c>
    </row>
    <row r="65" spans="1:8" x14ac:dyDescent="0.35">
      <c r="A65" s="76"/>
      <c r="B65" s="32" t="s">
        <v>58</v>
      </c>
      <c r="C65" s="57">
        <v>30338689</v>
      </c>
      <c r="D65" s="33" t="s">
        <v>58</v>
      </c>
      <c r="E65" s="57">
        <v>13649565.43</v>
      </c>
      <c r="F65" s="10">
        <f>IF((E65*C62/C65)&gt;11.67%,11.67%,((E65*C62)/C65))</f>
        <v>0.10127389414529415</v>
      </c>
      <c r="H65" s="1">
        <f>11.67</f>
        <v>11.67</v>
      </c>
    </row>
    <row r="66" spans="1:8" x14ac:dyDescent="0.35">
      <c r="A66" s="76"/>
      <c r="B66" s="32" t="s">
        <v>59</v>
      </c>
      <c r="C66" s="58">
        <v>15680370</v>
      </c>
      <c r="D66" s="33" t="s">
        <v>59</v>
      </c>
      <c r="E66" s="58">
        <v>1116865.9100000001</v>
      </c>
      <c r="F66" s="10">
        <f>IF((E66*C62/C66)&gt;6.88%,6.88%,((E66*C62)/C66))</f>
        <v>1.6033200513827162E-2</v>
      </c>
      <c r="H66" s="1">
        <v>6.88</v>
      </c>
    </row>
    <row r="67" spans="1:8" x14ac:dyDescent="0.35">
      <c r="A67" s="76"/>
      <c r="B67" s="36" t="s">
        <v>60</v>
      </c>
      <c r="C67" s="59">
        <v>672976</v>
      </c>
      <c r="D67" s="36" t="s">
        <v>60</v>
      </c>
      <c r="E67" s="59">
        <v>2123357.2999999998</v>
      </c>
      <c r="F67" s="10">
        <f>IF((E67*C62/C67)&gt;3.96%,3.96%,((E67*C62)/C67))</f>
        <v>3.9599999999999996E-2</v>
      </c>
      <c r="H67" s="1">
        <v>3.96</v>
      </c>
    </row>
    <row r="68" spans="1:8" x14ac:dyDescent="0.35">
      <c r="B68" s="12"/>
      <c r="C68" s="12"/>
      <c r="D68" s="12"/>
      <c r="E68" s="12"/>
      <c r="F68" s="12"/>
    </row>
    <row r="69" spans="1:8" ht="15" hidden="1" x14ac:dyDescent="0.35">
      <c r="A69" s="67" t="s">
        <v>61</v>
      </c>
      <c r="B69" s="2" t="s">
        <v>62</v>
      </c>
      <c r="C69" s="3">
        <v>0.05</v>
      </c>
      <c r="D69" s="4" t="s">
        <v>9</v>
      </c>
      <c r="E69" s="68">
        <f>IF(F73&gt;=20%,5%,IF(F73&gt;=1%,2%,F78))</f>
        <v>-0.02</v>
      </c>
      <c r="F69" s="69"/>
    </row>
    <row r="70" spans="1:8" ht="4.5" hidden="1" customHeight="1" x14ac:dyDescent="0.25">
      <c r="A70" s="67"/>
      <c r="C70" s="60"/>
      <c r="D70" s="61"/>
      <c r="E70" s="61"/>
      <c r="F70" s="61"/>
    </row>
    <row r="71" spans="1:8" hidden="1" x14ac:dyDescent="0.35">
      <c r="A71" s="67"/>
      <c r="B71" s="70" t="s">
        <v>63</v>
      </c>
      <c r="C71" s="71"/>
      <c r="D71" s="62">
        <v>2019</v>
      </c>
      <c r="E71" s="62">
        <v>2020</v>
      </c>
      <c r="F71" s="62">
        <v>2021</v>
      </c>
    </row>
    <row r="72" spans="1:8" hidden="1" x14ac:dyDescent="0.35">
      <c r="A72" s="67"/>
      <c r="B72" s="72" t="s">
        <v>64</v>
      </c>
      <c r="C72" s="73"/>
      <c r="D72" s="51">
        <v>6</v>
      </c>
      <c r="E72" s="51">
        <v>4</v>
      </c>
      <c r="F72" s="51">
        <v>1</v>
      </c>
    </row>
    <row r="73" spans="1:8" hidden="1" x14ac:dyDescent="0.35">
      <c r="A73" s="67"/>
      <c r="B73" s="63"/>
      <c r="C73" s="64" t="s">
        <v>65</v>
      </c>
      <c r="D73" s="65">
        <f>(E72/D72)-1</f>
        <v>-0.33333333333333337</v>
      </c>
      <c r="E73" s="65">
        <f>(F72/E72)-1</f>
        <v>-0.75</v>
      </c>
      <c r="F73" s="66">
        <f>AVERAGE(D73:E73)</f>
        <v>-0.54166666666666674</v>
      </c>
    </row>
    <row r="74" spans="1:8" hidden="1" x14ac:dyDescent="0.35">
      <c r="A74" s="67"/>
      <c r="B74" s="63"/>
    </row>
    <row r="75" spans="1:8" ht="15" hidden="1" x14ac:dyDescent="0.35">
      <c r="A75" s="67"/>
      <c r="B75" s="63"/>
      <c r="E75" s="48" t="s">
        <v>66</v>
      </c>
      <c r="F75" s="41" t="s">
        <v>9</v>
      </c>
    </row>
    <row r="76" spans="1:8" hidden="1" x14ac:dyDescent="0.35">
      <c r="A76" s="67"/>
      <c r="B76" s="63"/>
      <c r="E76" s="51" t="s">
        <v>67</v>
      </c>
      <c r="F76" s="53">
        <v>0.05</v>
      </c>
    </row>
    <row r="77" spans="1:8" hidden="1" x14ac:dyDescent="0.35">
      <c r="A77" s="67"/>
      <c r="B77" s="63"/>
      <c r="E77" s="51" t="s">
        <v>68</v>
      </c>
      <c r="F77" s="53">
        <v>0.02</v>
      </c>
    </row>
    <row r="78" spans="1:8" hidden="1" x14ac:dyDescent="0.35">
      <c r="A78" s="67"/>
      <c r="B78" s="63"/>
      <c r="E78" s="51" t="s">
        <v>69</v>
      </c>
      <c r="F78" s="53">
        <v>-0.02</v>
      </c>
    </row>
  </sheetData>
  <mergeCells count="31">
    <mergeCell ref="A1:F2"/>
    <mergeCell ref="A4:F4"/>
    <mergeCell ref="A5:F5"/>
    <mergeCell ref="A7:B7"/>
    <mergeCell ref="C7:F7"/>
    <mergeCell ref="B18:C18"/>
    <mergeCell ref="D18:E18"/>
    <mergeCell ref="A31:A45"/>
    <mergeCell ref="E31:F31"/>
    <mergeCell ref="B33:C33"/>
    <mergeCell ref="D33:E33"/>
    <mergeCell ref="E39:F39"/>
    <mergeCell ref="B41:C41"/>
    <mergeCell ref="D41:E41"/>
    <mergeCell ref="A9:A29"/>
    <mergeCell ref="E9:F9"/>
    <mergeCell ref="B11:C11"/>
    <mergeCell ref="D11:E11"/>
    <mergeCell ref="E16:F16"/>
    <mergeCell ref="A69:A78"/>
    <mergeCell ref="E69:F69"/>
    <mergeCell ref="B71:C71"/>
    <mergeCell ref="B72:C72"/>
    <mergeCell ref="A48:A60"/>
    <mergeCell ref="E48:F48"/>
    <mergeCell ref="E49:F49"/>
    <mergeCell ref="D51:E51"/>
    <mergeCell ref="A62:A67"/>
    <mergeCell ref="E62:F62"/>
    <mergeCell ref="B64:C64"/>
    <mergeCell ref="D64:E6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Dillan Alexander Cruz</dc:creator>
  <cp:lastModifiedBy>Doménica Nicole Villalva Dalgo</cp:lastModifiedBy>
  <dcterms:created xsi:type="dcterms:W3CDTF">2026-10-21T15:39:34Z</dcterms:created>
  <dcterms:modified xsi:type="dcterms:W3CDTF">2026-10-21T15:41:34Z</dcterms:modified>
</cp:coreProperties>
</file>