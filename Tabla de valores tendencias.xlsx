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omenica.villalva.01\Downloads\"/>
    </mc:Choice>
  </mc:AlternateContent>
  <xr:revisionPtr revIDLastSave="0" documentId="13_ncr:1_{D8146FB2-A05D-44F2-85BA-363BAC87CA6E}" xr6:coauthVersionLast="47" xr6:coauthVersionMax="47" xr10:uidLastSave="{00000000-0000-0000-0000-000000000000}"/>
  <bookViews>
    <workbookView xWindow="-110" yWindow="-110" windowWidth="25820" windowHeight="15500" xr2:uid="{196E8125-BD32-4DCE-B40B-665A9B1BAAD1}"/>
  </bookViews>
  <sheets>
    <sheet name="Hoja1" sheetId="2" r:id="rId1"/>
    <sheet name="PRECIO" sheetId="5" state="hidden" r:id="rId2"/>
    <sheet name="Hoja4" sheetId="4"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9" i="2" l="1"/>
  <c r="E18" i="2"/>
  <c r="E49" i="4"/>
  <c r="D49" i="4"/>
  <c r="C49" i="4"/>
  <c r="B49" i="4"/>
  <c r="A49" i="4"/>
  <c r="R9" i="5"/>
  <c r="E15" i="5"/>
  <c r="E26" i="5"/>
  <c r="E25" i="5"/>
  <c r="E24" i="5"/>
  <c r="E23" i="5"/>
  <c r="E22" i="5"/>
  <c r="E21" i="5"/>
  <c r="E20" i="5"/>
  <c r="E19" i="5"/>
  <c r="E18" i="5"/>
  <c r="E17" i="5"/>
  <c r="E16" i="5"/>
  <c r="Q2" i="5"/>
  <c r="M8" i="5"/>
  <c r="C26" i="5"/>
  <c r="C25" i="5"/>
  <c r="C24" i="5"/>
  <c r="C23" i="5"/>
  <c r="C22" i="5"/>
  <c r="C21" i="5"/>
  <c r="C20" i="5"/>
  <c r="C19" i="5"/>
  <c r="C18" i="5"/>
  <c r="C17" i="5"/>
  <c r="C16" i="5"/>
  <c r="C15" i="5"/>
  <c r="R13" i="5"/>
  <c r="R12" i="5"/>
  <c r="R11" i="5"/>
  <c r="R10" i="5"/>
  <c r="R8" i="5"/>
  <c r="R7" i="5"/>
  <c r="R6" i="5"/>
  <c r="R5" i="5"/>
  <c r="R4" i="5"/>
  <c r="R3" i="5"/>
  <c r="R2" i="5"/>
  <c r="Q13" i="5"/>
  <c r="Q12" i="5"/>
  <c r="Q11" i="5"/>
  <c r="Q10" i="5"/>
  <c r="Q9" i="5"/>
  <c r="Q8" i="5"/>
  <c r="Q7" i="5"/>
  <c r="Q6" i="5"/>
  <c r="Q5" i="5"/>
  <c r="Q4" i="5"/>
  <c r="Q3" i="5"/>
  <c r="N8" i="5"/>
  <c r="I8" i="5"/>
  <c r="H8" i="5"/>
  <c r="L12" i="4"/>
  <c r="H12" i="4"/>
  <c r="D12" i="4"/>
  <c r="P12" i="4"/>
  <c r="T12" i="4"/>
  <c r="T24" i="4"/>
  <c r="P24" i="4"/>
  <c r="L24" i="4"/>
  <c r="H24" i="4"/>
  <c r="D24" i="4"/>
  <c r="D36" i="4"/>
  <c r="H36" i="4"/>
  <c r="G36" i="4" a="1"/>
  <c r="C36" i="4" a="1"/>
  <c r="C24" i="4" a="1"/>
  <c r="G24" i="4" a="1"/>
  <c r="K24" i="4" a="1"/>
  <c r="O24" i="4" a="1"/>
  <c r="S24" i="4" a="1"/>
  <c r="S12" i="4" a="1"/>
  <c r="O12" i="4" a="1"/>
  <c r="K12" i="4" a="1"/>
  <c r="G12" i="4" a="1"/>
  <c r="C12" i="4"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<sst xmlns="http://schemas.openxmlformats.org/spreadsheetml/2006/main" count="416" uniqueCount="225">
  <si>
    <t>Variable</t>
  </si>
  <si>
    <t>Definición</t>
  </si>
  <si>
    <t>Detalle</t>
  </si>
  <si>
    <t>Negocios Internacionales</t>
  </si>
  <si>
    <t>Software</t>
  </si>
  <si>
    <t>Enfermería</t>
  </si>
  <si>
    <t>Medicina</t>
  </si>
  <si>
    <t>Odontología</t>
  </si>
  <si>
    <t>Multimedia y produccion audiovisual</t>
  </si>
  <si>
    <t>Derecho</t>
  </si>
  <si>
    <t>Arquitectura</t>
  </si>
  <si>
    <t>RRII</t>
  </si>
  <si>
    <t>Gastronomía</t>
  </si>
  <si>
    <t>Música</t>
  </si>
  <si>
    <t>Psicología</t>
  </si>
  <si>
    <t xml:space="preserve"> Matriculados</t>
  </si>
  <si>
    <t>Tasa de crecimiento promedio del número de estudiantes matriculados en el programa propuesto o en programas similares</t>
  </si>
  <si>
    <t>Tasa de crecimiento de matriculados del periodo 2020-2025</t>
  </si>
  <si>
    <t xml:space="preserve"> Titulados</t>
  </si>
  <si>
    <t>Tasa de crecimiento promedio del número de estudiantes titulados en el programa propuesto o en programas similares</t>
  </si>
  <si>
    <t>Tasa de crecimiento de titulados del periodo 2020-2025</t>
  </si>
  <si>
    <t xml:space="preserve"> Cantidad de búsquedas web</t>
  </si>
  <si>
    <t>Volumen de búsquedas en Google Trends a nivel local utilizado para medir la evolución del interés del nombre en el tiempo.</t>
  </si>
  <si>
    <t>Volumen de busquedas web en google trends sobre 100 para Ecuador</t>
  </si>
  <si>
    <t>Volumen de búsquedas en Google Trends a nivel regional utilizado para medir la evolución del interés del nombre en el tiempo.</t>
  </si>
  <si>
    <t>Promedio de volumen de busquedas web en google trends sobre 100 para Países de lationamerica</t>
  </si>
  <si>
    <t>Volumen de búsquedas en Google Trends a nivel mundial utilizado para medir la evolución del interés del nombre en el tiempo.</t>
  </si>
  <si>
    <t>Promedio de volumen de busquedas web en google trends sobre 100 para Países con datos del mundoo incluido lationamerica</t>
  </si>
  <si>
    <t xml:space="preserve"> Palabras clave</t>
  </si>
  <si>
    <t>Nivel promedio de interés de búsqueda de las palabras clave relacionadas con el programa durante los últimos 12 meses a nivel local</t>
  </si>
  <si>
    <t>Promedio de busquedas web con respecto al nombre de la carrera en ecuador durante los ultimos 12 meses</t>
  </si>
  <si>
    <t xml:space="preserve"> Calificación nombre</t>
  </si>
  <si>
    <t>Evaluación del potencial del nombre propuesto según claridad, actualidad, atractivo comercial, profesionalismo académico e internacionalización</t>
  </si>
  <si>
    <t xml:space="preserve"> Cantidad de profesionales</t>
  </si>
  <si>
    <t>Cantidad de profesionales en Ecuador cuyos cargos o industrias se relacionan con el campo de la carrera</t>
  </si>
  <si>
    <t>Cantidad de profesionales registrados en linkedin que responden a cargos relacionados con la carrera propuesta</t>
  </si>
  <si>
    <t xml:space="preserve"> Cantidad de vacantes</t>
  </si>
  <si>
    <t>Cantidad de vacantes disponibles en Ecuador relacionadas con los cargos o áreas profesionales vinculadas a la carrera</t>
  </si>
  <si>
    <t>Cantidad de vacantes publicadas en linkedin con relación a las carreras propuestas</t>
  </si>
  <si>
    <t xml:space="preserve"> Brecha Mercado Laboral vs Programa Educativo</t>
  </si>
  <si>
    <t>Grado de coincidencia entre las aptitudes del programa y las demandadas por el mercado laboral, identificando posibles brechas de ajuste</t>
  </si>
  <si>
    <t>Calificación sobre 100% de una IA especializada que compara las aptitudes actuales en el mercado laboral desde LinkedIn con las aptitudes propuestas por programa a fin de conocer su alineación</t>
  </si>
  <si>
    <t xml:space="preserve"> Salario Promedio</t>
  </si>
  <si>
    <t>Nivel de remuneración promedio asociado al campo laboral de la carrera, estimado a partir de fuentes públicas y de las actividades económicas vinculadas mediante códigos CIIU</t>
  </si>
  <si>
    <t>Salario promedio por CIIU identificado en la REES</t>
  </si>
  <si>
    <t xml:space="preserve"> Cantidad de oferta</t>
  </si>
  <si>
    <t>Nivel de presencia de universidades que ofertan la carrera o programas similares, contrastado con el nivel de interés del mercado</t>
  </si>
  <si>
    <t>Cantidad de universidades privadas de la sierra que ofertan la carrera</t>
  </si>
  <si>
    <t xml:space="preserve"> Precio promedio del mercado</t>
  </si>
  <si>
    <t>Nivel de precios de programas similares en el mercado, analizado mediante media para identificar rangos de referencia y su alineación con los valores de UDLA</t>
  </si>
  <si>
    <t>Brecha entre el precio de la carrera UDLA vs el promedio del mercado para cada carrera, si es positivo muestra que tan cara es la universidad respecto al mercado, si es negativo muestra que tan barata es frente al mercado</t>
  </si>
  <si>
    <t xml:space="preserve"> Sociedades y Naturales</t>
  </si>
  <si>
    <t>Valor de las ventas de bienes y servicios realizadas por personas naturalesque están sujetas a IVA.</t>
  </si>
  <si>
    <t>Acumulado de los ultimos 36 meses de ventas gravadas para personas naturales de los ciius identificados para cada carrera</t>
  </si>
  <si>
    <t>Valor de las ventas de bienes y servicios realizadas por sociedades que están sujetas a IVA.</t>
  </si>
  <si>
    <t>Acumulado de los ultimos 36 meses de ventas gravadas para sociedadess de los ciius identificados para cada carrera</t>
  </si>
  <si>
    <t>Carrera</t>
  </si>
  <si>
    <t>Precio promedio</t>
  </si>
  <si>
    <t>Mediana mercado</t>
  </si>
  <si>
    <t>Registros</t>
  </si>
  <si>
    <t>precios udla</t>
  </si>
  <si>
    <t>promedio</t>
  </si>
  <si>
    <t>mediana</t>
  </si>
  <si>
    <t>FACULTAD</t>
  </si>
  <si>
    <t>PROMEDIO</t>
  </si>
  <si>
    <t>MEDIANA</t>
  </si>
  <si>
    <t>MPROMEDIO</t>
  </si>
  <si>
    <t>MMEDIANA</t>
  </si>
  <si>
    <t>DIFERENCIA promedio</t>
  </si>
  <si>
    <t>diferencia mediana</t>
  </si>
  <si>
    <t>ARQUITECTURA</t>
  </si>
  <si>
    <t>DERECHO</t>
  </si>
  <si>
    <t>SALUD</t>
  </si>
  <si>
    <t>GASTRONOMIA</t>
  </si>
  <si>
    <t>MEDICINA</t>
  </si>
  <si>
    <t>Multimedia y Producción Audiovisual</t>
  </si>
  <si>
    <t>NODO</t>
  </si>
  <si>
    <t>MUSICA</t>
  </si>
  <si>
    <t>FACEA</t>
  </si>
  <si>
    <t>ODONTOLOGIA</t>
  </si>
  <si>
    <t>PSICOLOGIA</t>
  </si>
  <si>
    <t>Relaciones Internacionales</t>
  </si>
  <si>
    <t>CIENCIAS POL</t>
  </si>
  <si>
    <t>FICA</t>
  </si>
  <si>
    <t>udla</t>
  </si>
  <si>
    <t>https://www.udla.edu.ec/estudios/pregrado/arquitectura/</t>
  </si>
  <si>
    <t>https://www.udla.edu.ec/estudios/pregrado/derecho/</t>
  </si>
  <si>
    <t>https://www.udla.edu.ec/estudios/pregrado/enfermeria/</t>
  </si>
  <si>
    <t>https://www.udla.edu.ec/estudios/pregrado/gastronomia/</t>
  </si>
  <si>
    <t>https://www.udla.edu.ec/estudios/pregrado/medicina/</t>
  </si>
  <si>
    <t>https://www.udla.edu.ec/estudios/pregrado/multimedia-y-produccion-audiovisual/</t>
  </si>
  <si>
    <t>https://www.udla.edu.ec/estudios/pregrado/musica/</t>
  </si>
  <si>
    <t>https://www.udla.edu.ec/estudios/pregrado/negocios-internacionales/</t>
  </si>
  <si>
    <t>https://www.udla.edu.ec/estudios/pregrado/odontologia/</t>
  </si>
  <si>
    <t>https://www.udla.edu.ec/estudios/pregrado/psicologia/</t>
  </si>
  <si>
    <t>https://www.udla.edu.ec/estudios/pregrado/relaciones-internacionales/</t>
  </si>
  <si>
    <t>https://www.udla.edu.ec/estudios/pregrado/software/</t>
  </si>
  <si>
    <t>CARRERA</t>
  </si>
  <si>
    <t>PALABRA_CLAVE</t>
  </si>
  <si>
    <t>VALOR</t>
  </si>
  <si>
    <t>SOFTWARE</t>
  </si>
  <si>
    <t>Desarrollo</t>
  </si>
  <si>
    <t>Filosofía del derecho</t>
  </si>
  <si>
    <t>Farmacología</t>
  </si>
  <si>
    <t>Canto</t>
  </si>
  <si>
    <t>Chocolatería</t>
  </si>
  <si>
    <t>Redes</t>
  </si>
  <si>
    <t>Derecho Empresarial</t>
  </si>
  <si>
    <t>Semiología</t>
  </si>
  <si>
    <t>Historia de la música</t>
  </si>
  <si>
    <t>Cocina Internacional</t>
  </si>
  <si>
    <t>Desarrollo de videojuegos</t>
  </si>
  <si>
    <t>Derecho Laboral</t>
  </si>
  <si>
    <t>Tropical medicine</t>
  </si>
  <si>
    <t>Interpretación</t>
  </si>
  <si>
    <t>Dietética y nutrición</t>
  </si>
  <si>
    <t>Seguridad Informática</t>
  </si>
  <si>
    <t>Garantías Constitucionales</t>
  </si>
  <si>
    <t>Quirúrgica</t>
  </si>
  <si>
    <t>Composición</t>
  </si>
  <si>
    <t>Cárnicos</t>
  </si>
  <si>
    <t>Algoritmo</t>
  </si>
  <si>
    <t>Deontología Jurídica</t>
  </si>
  <si>
    <t>Morfofuncionales</t>
  </si>
  <si>
    <t>Instrumental</t>
  </si>
  <si>
    <t>Cocina de vanguardia</t>
  </si>
  <si>
    <t>Inteligencia Artificial</t>
  </si>
  <si>
    <t>Pluralismo Jurídico</t>
  </si>
  <si>
    <t>Pediatría</t>
  </si>
  <si>
    <t>Armonía musical</t>
  </si>
  <si>
    <t>Cocina Ecuatoriana</t>
  </si>
  <si>
    <t>Programación</t>
  </si>
  <si>
    <t>Derecho Económico</t>
  </si>
  <si>
    <t>Infectología</t>
  </si>
  <si>
    <t>Improvisación</t>
  </si>
  <si>
    <t>Pastelería</t>
  </si>
  <si>
    <t>Computación Ubicua</t>
  </si>
  <si>
    <t>Derecho Penal</t>
  </si>
  <si>
    <t>Investigaciones Clínicas</t>
  </si>
  <si>
    <t>Ensamble</t>
  </si>
  <si>
    <t>Alta cocina</t>
  </si>
  <si>
    <t>Ingeniería Web</t>
  </si>
  <si>
    <t>Sujetos del Derecho</t>
  </si>
  <si>
    <t>Medicina Legal</t>
  </si>
  <si>
    <t>Proyecto Artístico</t>
  </si>
  <si>
    <t>Panadería</t>
  </si>
  <si>
    <t>Procesador</t>
  </si>
  <si>
    <t>Teoría del delito</t>
  </si>
  <si>
    <t>Microbiología</t>
  </si>
  <si>
    <t>Producción musical</t>
  </si>
  <si>
    <t>Sanidad</t>
  </si>
  <si>
    <t>RELACIONES INTERNACIONALES</t>
  </si>
  <si>
    <t>Derechos Humanos</t>
  </si>
  <si>
    <t>NEGOCIOS INTERNACIONALES</t>
  </si>
  <si>
    <t>Contabilidad</t>
  </si>
  <si>
    <t>Maquetería</t>
  </si>
  <si>
    <t>MULTIMEDIA Y PRODUCCION AUDIOVISUAL</t>
  </si>
  <si>
    <t>Interfaces</t>
  </si>
  <si>
    <t>ENFERMERIA</t>
  </si>
  <si>
    <t>Clínica enfermería</t>
  </si>
  <si>
    <t>Políticas Públicas</t>
  </si>
  <si>
    <t>Mercados Internacionales</t>
  </si>
  <si>
    <t>Construcción</t>
  </si>
  <si>
    <t>Medios Digitales</t>
  </si>
  <si>
    <t>Enfermería en pacientes</t>
  </si>
  <si>
    <t>Negociación</t>
  </si>
  <si>
    <t>Inteligencia de negocios</t>
  </si>
  <si>
    <t>Dibujo Natural</t>
  </si>
  <si>
    <t>Diseño 3D</t>
  </si>
  <si>
    <t>Gestión de calidad</t>
  </si>
  <si>
    <t>Regionalismos</t>
  </si>
  <si>
    <t>Dirección Estratégica</t>
  </si>
  <si>
    <t>Dibujo Técnico</t>
  </si>
  <si>
    <t>Edición de video</t>
  </si>
  <si>
    <t>Salud comunitaria</t>
  </si>
  <si>
    <t>Política Mundial</t>
  </si>
  <si>
    <t>Sostenibilidad Ambiental</t>
  </si>
  <si>
    <t>Animación Digital</t>
  </si>
  <si>
    <t>Bioestadística</t>
  </si>
  <si>
    <t>Estado y constitución</t>
  </si>
  <si>
    <t>Comercio Exterior</t>
  </si>
  <si>
    <t>Urbanismo</t>
  </si>
  <si>
    <t>Dirección de Arte</t>
  </si>
  <si>
    <t>Servicios de emergencia</t>
  </si>
  <si>
    <t>Geopolítica</t>
  </si>
  <si>
    <t>Estrategia De Promoción</t>
  </si>
  <si>
    <t>Arquitectura del paisaje</t>
  </si>
  <si>
    <t>Render</t>
  </si>
  <si>
    <t>Bioética</t>
  </si>
  <si>
    <t>Organismos Internacionales</t>
  </si>
  <si>
    <t>Gestión de proyectos</t>
  </si>
  <si>
    <t>Proyectos arquitectónicos</t>
  </si>
  <si>
    <t>Producción Audiovisual</t>
  </si>
  <si>
    <t>Cuidados del adulto mayor</t>
  </si>
  <si>
    <t>Administración pública</t>
  </si>
  <si>
    <t>Inteligencia de mercados</t>
  </si>
  <si>
    <t>Taller de diseño</t>
  </si>
  <si>
    <t>Rigging</t>
  </si>
  <si>
    <t>Fisiopatología</t>
  </si>
  <si>
    <t>Economía Política</t>
  </si>
  <si>
    <t>Exportaciones e importaciones</t>
  </si>
  <si>
    <t>Diseño Arquitectonico</t>
  </si>
  <si>
    <t>Efectos especiales</t>
  </si>
  <si>
    <t>Instrumentación quirúrgica</t>
  </si>
  <si>
    <t>Estomatología</t>
  </si>
  <si>
    <t>Conciencia</t>
  </si>
  <si>
    <t>Embriología</t>
  </si>
  <si>
    <t>Psicopatología</t>
  </si>
  <si>
    <t>Odontopediatría</t>
  </si>
  <si>
    <t>Psicoterapia</t>
  </si>
  <si>
    <t>Ortodoncia</t>
  </si>
  <si>
    <t>Procesos de cambio</t>
  </si>
  <si>
    <t>Imagenología</t>
  </si>
  <si>
    <t>Psicofarmacología</t>
  </si>
  <si>
    <t>Periodoncia</t>
  </si>
  <si>
    <t>Psiquiatría</t>
  </si>
  <si>
    <t>Protesis Dental</t>
  </si>
  <si>
    <t>Psicología del consumidor</t>
  </si>
  <si>
    <t>Anatomía patológica</t>
  </si>
  <si>
    <t>Psicología educativa</t>
  </si>
  <si>
    <t>Biomateriales</t>
  </si>
  <si>
    <t>Psicología comunitaria</t>
  </si>
  <si>
    <t>Endodoncia</t>
  </si>
  <si>
    <t>Psicología de la personalidad</t>
  </si>
  <si>
    <t>Calificación sobre 13,58 dada por una IA especializada que mide el atractivo del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</si>
</sst>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 &quot;$&quot;* #,##0.00_ ;_ &quot;$&quot;* \-#,##0.00_ ;_ &quot;$&quot;* &quot;-&quot;??_ ;_ @_ "/>
    <numFmt numFmtId="164" formatCode="_ &quot;$&quot;* #,##0_ ;_ &quot;$&quot;* \-#,##0_ ;_ &quot;$&quot;* &quot;-&quot;??_ ;_ @_ "/>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b/>
      <sz val="8"/>
      <color rgb="FF0070C0"/>
      <name val="Century Gothic"/>
    </font>
    <font>
      <sz val="8"/>
      <color rgb="FF000000"/>
      <name val="Century Gothic"/>
    </font>
    <font>
      <b/>
      <sz val="8"/>
      <color rgb="FF0070C0"/>
      <name val="Century Gothic"/>
      <family val="2"/>
    </font>
    <font>
      <sz val="8"/>
      <color rgb="FF000000"/>
      <name val="Century Gothic"/>
      <family val="2"/>
    </font>
    <font>
      <b/>
      <sz val="12"/>
      <color theme="0"/>
      <name val="Arial"/>
      <family val="2"/>
    </font>
    <font>
      <sz val="11"/>
      <color rgb="FFFF0000"/>
      <name val="Aptos Narrow"/>
      <family val="2"/>
      <scheme val="minor"/>
    </font>
    <font>
      <sz val="8"/>
      <color rgb="FFFF0000"/>
      <name val="Century Gothic"/>
    </font>
    <font>
      <sz val="8"/>
      <color rgb="FFFF0000"/>
      <name val="Century Gothic"/>
      <family val="2"/>
    </font>
  </fonts>
  <fills count="8">
    <fill>
      <patternFill patternType="none"/>
    </fill>
    <fill>
      <patternFill patternType="gray125"/>
    </fill>
    <fill>
      <patternFill patternType="solid">
        <fgColor rgb="FFFFFFFF"/>
        <bgColor indexed="64"/>
      </patternFill>
    </fill>
    <fill>
      <patternFill patternType="solid">
        <fgColor rgb="FFF5F9FD"/>
        <bgColor indexed="64"/>
      </patternFill>
    </fill>
    <fill>
      <patternFill patternType="solid">
        <fgColor rgb="FFF4FBF2"/>
        <bgColor indexed="64"/>
      </patternFill>
    </fill>
    <fill>
      <patternFill patternType="solid">
        <fgColor rgb="FFF4F9FD"/>
        <bgColor indexed="64"/>
      </patternFill>
    </fill>
    <fill>
      <patternFill patternType="solid">
        <fgColor rgb="FF800000"/>
        <bgColor indexed="64"/>
      </patternFill>
    </fill>
    <fill>
      <patternFill patternType="solid">
        <fgColor rgb="FFFFFF00"/>
        <bgColor indexed="64"/>
      </patternFill>
    </fill>
  </fills>
  <borders count="4">
    <border>
      <left/>
      <right/>
      <top/>
      <bottom/>
      <diagonal/>
    </border>
    <border>
      <left style="medium">
        <color rgb="FFF2F2F2"/>
      </left>
      <right style="medium">
        <color rgb="FFF2F2F2"/>
      </right>
      <top style="medium">
        <color rgb="FFF2F2F2"/>
      </top>
      <bottom style="medium">
        <color rgb="FFF2F2F2"/>
      </bottom>
      <diagonal/>
    </border>
    <border>
      <left style="medium">
        <color rgb="FFF2F2F2"/>
      </left>
      <right style="medium">
        <color rgb="FFF2F2F2"/>
      </right>
      <top/>
      <bottom/>
      <diagonal/>
    </border>
    <border>
      <left/>
      <right style="thin">
        <color theme="0"/>
      </right>
      <top style="thin">
        <color theme="0"/>
      </top>
      <bottom style="thin">
        <color theme="0"/>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4">
    <xf numFmtId="0" fontId="0" fillId="0" borderId="0" xfId="0"/>
    <xf numFmtId="0" fontId="3" fillId="2" borderId="1" xfId="0" applyFont="1" applyFill="1" applyBorder="1" applyAlignment="1">
      <alignment horizontal="center" vertical="center" readingOrder="1"/>
    </xf>
    <xf numFmtId="0" fontId="4" fillId="3" borderId="1" xfId="0" applyFont="1" applyFill="1" applyBorder="1" applyAlignment="1">
      <alignment horizontal="left" readingOrder="1"/>
    </xf>
    <xf numFmtId="0" fontId="4" fillId="4" borderId="1" xfId="0" applyFont="1" applyFill="1" applyBorder="1" applyAlignment="1">
      <alignment horizontal="left" readingOrder="1"/>
    </xf>
    <xf numFmtId="0" fontId="4" fillId="2" borderId="1" xfId="0" applyFont="1" applyFill="1" applyBorder="1" applyAlignment="1">
      <alignment horizontal="left" readingOrder="1"/>
    </xf>
    <xf numFmtId="0" fontId="4" fillId="2" borderId="1" xfId="0" applyFont="1" applyFill="1" applyBorder="1" applyAlignment="1">
      <alignment horizontal="left" vertical="center" readingOrder="1"/>
    </xf>
    <xf numFmtId="0" fontId="4" fillId="5" borderId="1" xfId="0" applyFont="1" applyFill="1" applyBorder="1" applyAlignment="1">
      <alignment horizontal="left" readingOrder="1"/>
    </xf>
    <xf numFmtId="0" fontId="4" fillId="4" borderId="1" xfId="0" applyFont="1" applyFill="1" applyBorder="1" applyAlignment="1">
      <alignment horizontal="left" vertical="center" readingOrder="1"/>
    </xf>
    <xf numFmtId="0" fontId="3" fillId="2" borderId="2" xfId="0" applyFont="1" applyFill="1" applyBorder="1" applyAlignment="1">
      <alignment horizontal="center" vertical="center" readingOrder="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xf>
    <xf numFmtId="9" fontId="0" fillId="0" borderId="0" xfId="0" applyNumberFormat="1"/>
    <xf numFmtId="9" fontId="0" fillId="0" borderId="0" xfId="2" applyFont="1"/>
    <xf numFmtId="0" fontId="5" fillId="2" borderId="2" xfId="0" applyFont="1" applyFill="1" applyBorder="1" applyAlignment="1">
      <alignment horizontal="center" vertical="center" readingOrder="1"/>
    </xf>
    <xf numFmtId="0" fontId="6" fillId="4" borderId="1" xfId="0" applyFont="1" applyFill="1" applyBorder="1" applyAlignment="1">
      <alignment horizontal="left" readingOrder="1"/>
    </xf>
    <xf numFmtId="2" fontId="7" fillId="6" borderId="3" xfId="0" applyNumberFormat="1" applyFont="1" applyFill="1" applyBorder="1" applyAlignment="1">
      <alignment horizontal="center" vertical="center"/>
    </xf>
    <xf numFmtId="1" fontId="0" fillId="0" borderId="0" xfId="0" applyNumberFormat="1"/>
    <xf numFmtId="8" fontId="0" fillId="0" borderId="0" xfId="0" applyNumberFormat="1" applyAlignment="1">
      <alignment vertical="center" wrapText="1"/>
    </xf>
    <xf numFmtId="164" fontId="2" fillId="0" borderId="0" xfId="1" applyNumberFormat="1" applyFont="1" applyAlignment="1">
      <alignment horizontal="center" vertical="center"/>
    </xf>
    <xf numFmtId="164" fontId="0" fillId="0" borderId="0" xfId="1" applyNumberFormat="1" applyFont="1"/>
    <xf numFmtId="164" fontId="0" fillId="0" borderId="0" xfId="0" applyNumberFormat="1" applyAlignment="1">
      <alignment vertical="center" wrapText="1"/>
    </xf>
    <xf numFmtId="164" fontId="0" fillId="0" borderId="0" xfId="0" applyNumberFormat="1"/>
    <xf numFmtId="8" fontId="0" fillId="7" borderId="0" xfId="0" applyNumberFormat="1" applyFill="1" applyAlignment="1">
      <alignment vertical="center" wrapText="1"/>
    </xf>
    <xf numFmtId="0" fontId="0" fillId="7" borderId="0" xfId="0" applyFill="1"/>
    <xf numFmtId="0" fontId="6" fillId="4" borderId="0" xfId="0" applyFont="1" applyFill="1" applyAlignment="1">
      <alignment horizontal="left" readingOrder="1"/>
    </xf>
    <xf numFmtId="0" fontId="4" fillId="2" borderId="0" xfId="0" applyFont="1" applyFill="1" applyAlignment="1">
      <alignment horizontal="left" vertical="center" readingOrder="1"/>
    </xf>
    <xf numFmtId="0" fontId="4" fillId="5" borderId="0" xfId="0" applyFont="1" applyFill="1" applyAlignment="1">
      <alignment horizontal="left" readingOrder="1"/>
    </xf>
    <xf numFmtId="0" fontId="4" fillId="4" borderId="0" xfId="0" applyFont="1" applyFill="1" applyAlignment="1">
      <alignment horizontal="left" vertical="center" readingOrder="1"/>
    </xf>
    <xf numFmtId="0" fontId="5" fillId="2" borderId="1" xfId="0" applyFont="1" applyFill="1" applyBorder="1" applyAlignment="1">
      <alignment horizontal="center" vertical="center" readingOrder="1"/>
    </xf>
    <xf numFmtId="0" fontId="6" fillId="3" borderId="0" xfId="0" applyFont="1" applyFill="1" applyAlignment="1">
      <alignment horizontal="left" readingOrder="1"/>
    </xf>
    <xf numFmtId="0" fontId="6" fillId="2" borderId="0" xfId="0" applyFont="1" applyFill="1" applyAlignment="1">
      <alignment horizontal="left" vertical="center" readingOrder="1"/>
    </xf>
    <xf numFmtId="0" fontId="9" fillId="2" borderId="1" xfId="0" applyFont="1" applyFill="1" applyBorder="1" applyAlignment="1">
      <alignment horizontal="left" readingOrder="1"/>
    </xf>
    <xf numFmtId="0" fontId="9" fillId="2" borderId="1" xfId="0" applyFont="1" applyFill="1" applyBorder="1" applyAlignment="1">
      <alignment horizontal="left" vertical="center" readingOrder="1"/>
    </xf>
    <xf numFmtId="0" fontId="10" fillId="2" borderId="0" xfId="0" applyFont="1" applyFill="1" applyAlignment="1">
      <alignment horizontal="left" vertical="center" readingOrder="1"/>
    </xf>
    <xf numFmtId="1" fontId="8" fillId="0" borderId="0" xfId="0" applyNumberFormat="1" applyFont="1"/>
    <xf numFmtId="0" fontId="8" fillId="0" borderId="0" xfId="0" applyFont="1"/>
    <xf numFmtId="0" fontId="9" fillId="2" borderId="0" xfId="0" applyFont="1" applyFill="1" applyAlignment="1">
      <alignment horizontal="left" vertical="center" readingOrder="1"/>
    </xf>
    <xf numFmtId="0" fontId="9" fillId="5" borderId="1" xfId="0" applyFont="1" applyFill="1" applyBorder="1" applyAlignment="1">
      <alignment horizontal="left" readingOrder="1"/>
    </xf>
    <xf numFmtId="0" fontId="9" fillId="5" borderId="0" xfId="0" applyFont="1" applyFill="1" applyAlignment="1">
      <alignment horizontal="left" readingOrder="1"/>
    </xf>
    <xf numFmtId="8" fontId="8" fillId="0" borderId="0" xfId="0" applyNumberFormat="1" applyFont="1"/>
    <xf numFmtId="0" fontId="9" fillId="4" borderId="1" xfId="0" applyFont="1" applyFill="1" applyBorder="1" applyAlignment="1">
      <alignment horizontal="left" readingOrder="1"/>
    </xf>
    <xf numFmtId="0" fontId="9" fillId="4" borderId="0" xfId="0" applyFont="1" applyFill="1" applyAlignment="1">
      <alignment horizontal="left" readingOrder="1"/>
    </xf>
    <xf numFmtId="44" fontId="8" fillId="0" borderId="0" xfId="1" applyFont="1"/>
  </cellXfs>
  <cellStyles count="3">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D85E0-C983-430D-B19C-C34B48BC58AD}">
  <dimension ref="A1:O19"/>
  <sheetViews>
    <sheetView tabSelected="1" zoomScale="107" zoomScaleNormal="100" workbookViewId="0">
      <selection activeCell="G22" sqref="G22"/>
    </sheetView>
  </sheetViews>
  <sheetFormatPr baseColWidth="10" defaultColWidth="11.453125" defaultRowHeight="14.5" x14ac:dyDescent="0.35"/>
  <cols>
    <col min="1" max="1" width="15.7265625" customWidth="1"/>
    <col min="3" max="3" width="52.1796875" customWidth="1"/>
    <col min="4" max="4" width="18.7265625" bestFit="1" customWidth="1"/>
    <col min="5" max="6" width="15.1796875" bestFit="1" customWidth="1"/>
    <col min="7" max="7" width="14.26953125" bestFit="1" customWidth="1"/>
    <col min="8" max="8" width="13.26953125" bestFit="1" customWidth="1"/>
    <col min="9" max="9" width="14.1796875" bestFit="1" customWidth="1"/>
    <col min="10" max="11" width="16.81640625" bestFit="1" customWidth="1"/>
    <col min="12" max="12" width="11.54296875" bestFit="1" customWidth="1"/>
    <col min="13" max="13" width="15.26953125" bestFit="1" customWidth="1"/>
    <col min="14" max="14" width="13.26953125" bestFit="1" customWidth="1"/>
    <col min="15" max="15" width="14.1796875" bestFit="1" customWidth="1"/>
  </cols>
  <sheetData>
    <row r="1" spans="1:15" ht="15" thickBot="1" x14ac:dyDescent="0.4">
      <c r="A1" s="1" t="s">
        <v>0</v>
      </c>
      <c r="B1" s="29" t="s">
        <v>1</v>
      </c>
      <c r="C1" s="29" t="s">
        <v>2</v>
      </c>
      <c r="D1" s="1" t="s">
        <v>3</v>
      </c>
      <c r="E1" s="8" t="s">
        <v>4</v>
      </c>
      <c r="F1" s="8" t="s">
        <v>5</v>
      </c>
      <c r="G1" s="8" t="s">
        <v>6</v>
      </c>
      <c r="H1" s="8" t="s">
        <v>7</v>
      </c>
      <c r="I1" s="8" t="s">
        <v>8</v>
      </c>
      <c r="J1" s="8" t="s">
        <v>9</v>
      </c>
      <c r="K1" s="8" t="s">
        <v>10</v>
      </c>
      <c r="L1" s="14" t="s">
        <v>11</v>
      </c>
      <c r="M1" s="8" t="s">
        <v>12</v>
      </c>
      <c r="N1" s="8" t="s">
        <v>13</v>
      </c>
      <c r="O1" s="8" t="s">
        <v>14</v>
      </c>
    </row>
    <row r="2" spans="1:15" ht="15" thickBot="1" x14ac:dyDescent="0.4">
      <c r="A2" s="2" t="s">
        <v>15</v>
      </c>
      <c r="B2" s="2" t="s">
        <v>16</v>
      </c>
      <c r="C2" s="30" t="s">
        <v>17</v>
      </c>
      <c r="D2" s="13">
        <v>0.38425479219435699</v>
      </c>
      <c r="E2" s="13">
        <v>0.06</v>
      </c>
      <c r="F2" s="13">
        <v>0.28230079936950903</v>
      </c>
      <c r="G2" s="13">
        <v>0.12519159562425028</v>
      </c>
      <c r="H2" s="13">
        <v>0.14733213830587724</v>
      </c>
      <c r="I2" s="13">
        <v>0.66078270090118219</v>
      </c>
      <c r="J2" s="13">
        <v>0.14716568889220941</v>
      </c>
      <c r="K2" s="13">
        <v>0.12273609859844668</v>
      </c>
      <c r="L2" s="13">
        <v>0.12305802231116274</v>
      </c>
      <c r="M2" s="13">
        <v>0.17657126455365388</v>
      </c>
      <c r="N2" s="13">
        <v>-0.50057451693303956</v>
      </c>
      <c r="O2" s="13">
        <v>0.15764232688488569</v>
      </c>
    </row>
    <row r="3" spans="1:15" ht="15" thickBot="1" x14ac:dyDescent="0.4">
      <c r="A3" s="2" t="s">
        <v>18</v>
      </c>
      <c r="B3" s="2" t="s">
        <v>19</v>
      </c>
      <c r="C3" s="30" t="s">
        <v>20</v>
      </c>
      <c r="D3" s="13">
        <v>0.31495682003521713</v>
      </c>
      <c r="E3" s="13">
        <v>1.6167880293486028</v>
      </c>
      <c r="F3" s="13">
        <v>7.7762275778528095E-2</v>
      </c>
      <c r="G3" s="13">
        <v>3.054169814198867E-2</v>
      </c>
      <c r="H3" s="13">
        <v>7.8305723941004296E-2</v>
      </c>
      <c r="I3" s="13">
        <v>-0.24025469595014065</v>
      </c>
      <c r="J3" s="13">
        <v>0.3061430634419498</v>
      </c>
      <c r="K3" s="13">
        <v>0.17986310963951443</v>
      </c>
      <c r="L3" s="13">
        <v>0.33341930244004431</v>
      </c>
      <c r="M3" s="13">
        <v>0.1145271169335782</v>
      </c>
      <c r="N3" s="13">
        <v>-0.36223860527657992</v>
      </c>
      <c r="O3" s="13">
        <v>0.22059946673456104</v>
      </c>
    </row>
    <row r="4" spans="1:15" ht="15" thickBot="1" x14ac:dyDescent="0.4">
      <c r="A4" s="3" t="s">
        <v>21</v>
      </c>
      <c r="B4" s="15" t="s">
        <v>22</v>
      </c>
      <c r="C4" s="25" t="s">
        <v>23</v>
      </c>
      <c r="D4" s="17">
        <v>36.714285714285715</v>
      </c>
      <c r="E4" s="17">
        <v>18.285714285714285</v>
      </c>
      <c r="F4" s="17">
        <v>81</v>
      </c>
      <c r="G4" s="17">
        <v>74.285714285714292</v>
      </c>
      <c r="H4" s="17">
        <v>74.857142857142861</v>
      </c>
      <c r="I4" s="17">
        <v>24.571428571428573</v>
      </c>
      <c r="J4" s="17">
        <v>65.142857142857139</v>
      </c>
      <c r="K4" s="17">
        <v>62.714285714285715</v>
      </c>
      <c r="L4" s="17">
        <v>14</v>
      </c>
      <c r="M4" s="17">
        <v>59.571428571428569</v>
      </c>
      <c r="N4" s="17">
        <v>40.285714285714285</v>
      </c>
      <c r="O4" s="17">
        <v>48.714285714285715</v>
      </c>
    </row>
    <row r="5" spans="1:15" ht="15" thickBot="1" x14ac:dyDescent="0.4">
      <c r="A5" s="3" t="s">
        <v>21</v>
      </c>
      <c r="B5" s="15" t="s">
        <v>24</v>
      </c>
      <c r="C5" s="25" t="s">
        <v>25</v>
      </c>
      <c r="D5" s="17">
        <v>27.178571428571427</v>
      </c>
      <c r="E5" s="17">
        <v>15.817142857142859</v>
      </c>
      <c r="F5" s="17">
        <v>58.704285714285717</v>
      </c>
      <c r="G5" s="17">
        <v>60.367142857142859</v>
      </c>
      <c r="H5" s="17">
        <v>66.901428571428568</v>
      </c>
      <c r="I5" s="17">
        <v>21.111428571428572</v>
      </c>
      <c r="J5" s="17">
        <v>58.275714285714287</v>
      </c>
      <c r="K5" s="17">
        <v>54.284285714285716</v>
      </c>
      <c r="L5" s="17">
        <v>13.29142857142857</v>
      </c>
      <c r="M5" s="17">
        <v>41.648571428571429</v>
      </c>
      <c r="N5" s="17">
        <v>23.881428571428568</v>
      </c>
      <c r="O5" s="17">
        <v>45.648571428571429</v>
      </c>
    </row>
    <row r="6" spans="1:15" ht="15" thickBot="1" x14ac:dyDescent="0.4">
      <c r="A6" s="3" t="s">
        <v>21</v>
      </c>
      <c r="B6" s="15" t="s">
        <v>26</v>
      </c>
      <c r="C6" s="25" t="s">
        <v>27</v>
      </c>
      <c r="D6" s="17">
        <v>23.294285714285714</v>
      </c>
      <c r="E6" s="17">
        <v>20.812857142857144</v>
      </c>
      <c r="F6" s="17">
        <v>56.138571428571424</v>
      </c>
      <c r="G6" s="17">
        <v>45.137142857142862</v>
      </c>
      <c r="H6" s="17">
        <v>56.388571428571424</v>
      </c>
      <c r="I6" s="17">
        <v>19.678571428571427</v>
      </c>
      <c r="J6" s="17">
        <v>54.925714285714285</v>
      </c>
      <c r="K6" s="17">
        <v>43.285714285714285</v>
      </c>
      <c r="L6" s="17">
        <v>22.125714285714281</v>
      </c>
      <c r="M6" s="17">
        <v>37.871428571428574</v>
      </c>
      <c r="N6" s="17">
        <v>24.669999999999998</v>
      </c>
      <c r="O6" s="17">
        <v>43.905714285714282</v>
      </c>
    </row>
    <row r="7" spans="1:15" s="36" customFormat="1" ht="15" thickBot="1" x14ac:dyDescent="0.4">
      <c r="A7" s="32" t="s">
        <v>28</v>
      </c>
      <c r="B7" s="33" t="s">
        <v>29</v>
      </c>
      <c r="C7" s="34" t="s">
        <v>30</v>
      </c>
      <c r="D7" s="35">
        <v>17.5</v>
      </c>
      <c r="E7" s="35">
        <v>23.833333333333332</v>
      </c>
      <c r="F7" s="35">
        <v>11.333333333333334</v>
      </c>
      <c r="G7" s="35">
        <v>10.333333333333334</v>
      </c>
      <c r="H7" s="35">
        <v>11.833333333333334</v>
      </c>
      <c r="I7" s="35">
        <v>12.333333333333334</v>
      </c>
      <c r="J7" s="35">
        <v>10</v>
      </c>
      <c r="K7" s="35">
        <v>15.166666666666666</v>
      </c>
      <c r="L7" s="35">
        <v>12.5</v>
      </c>
      <c r="M7" s="35">
        <v>10.5</v>
      </c>
      <c r="N7" s="35">
        <v>16.666666666666668</v>
      </c>
      <c r="O7" s="35">
        <v>11.833333333333334</v>
      </c>
    </row>
    <row r="8" spans="1:15" ht="15" thickBot="1" x14ac:dyDescent="0.4">
      <c r="A8" s="4" t="s">
        <v>31</v>
      </c>
      <c r="B8" s="5" t="s">
        <v>32</v>
      </c>
      <c r="C8" s="31" t="s">
        <v>224</v>
      </c>
      <c r="D8" s="17">
        <v>12.804</v>
      </c>
      <c r="E8" s="17">
        <v>12.804</v>
      </c>
      <c r="F8" s="17">
        <v>12.028</v>
      </c>
      <c r="G8" s="17">
        <v>11.639999999999999</v>
      </c>
      <c r="H8" s="17">
        <v>11.639999999999999</v>
      </c>
      <c r="I8" s="17">
        <v>12.416</v>
      </c>
      <c r="J8" s="17">
        <v>11.639999999999999</v>
      </c>
      <c r="K8" s="17">
        <v>12.028</v>
      </c>
      <c r="L8" s="17">
        <v>12.804</v>
      </c>
      <c r="M8" s="17">
        <v>11.639999999999999</v>
      </c>
      <c r="N8" s="17">
        <v>12.416</v>
      </c>
      <c r="O8" s="17">
        <v>12.028</v>
      </c>
    </row>
    <row r="9" spans="1:15" ht="15" thickBot="1" x14ac:dyDescent="0.4">
      <c r="A9" s="4" t="s">
        <v>33</v>
      </c>
      <c r="B9" s="5" t="s">
        <v>34</v>
      </c>
      <c r="C9" s="26" t="s">
        <v>35</v>
      </c>
      <c r="D9" s="17">
        <v>120</v>
      </c>
      <c r="E9" s="17">
        <v>21054</v>
      </c>
      <c r="F9" s="17">
        <v>30236</v>
      </c>
      <c r="G9" s="17">
        <v>24343</v>
      </c>
      <c r="H9" s="17">
        <v>10430</v>
      </c>
      <c r="I9" s="17">
        <v>8651</v>
      </c>
      <c r="J9" s="17">
        <v>30280</v>
      </c>
      <c r="K9" s="17">
        <v>10806</v>
      </c>
      <c r="L9" s="17">
        <v>126</v>
      </c>
      <c r="M9" s="17">
        <v>11671</v>
      </c>
      <c r="N9" s="17">
        <v>3730</v>
      </c>
      <c r="O9" s="17">
        <v>14080</v>
      </c>
    </row>
    <row r="10" spans="1:15" s="36" customFormat="1" ht="15" thickBot="1" x14ac:dyDescent="0.4">
      <c r="A10" s="32" t="s">
        <v>36</v>
      </c>
      <c r="B10" s="33" t="s">
        <v>37</v>
      </c>
      <c r="C10" s="37" t="s">
        <v>38</v>
      </c>
      <c r="D10" s="35">
        <v>1</v>
      </c>
      <c r="E10" s="35">
        <v>194</v>
      </c>
      <c r="F10" s="35">
        <v>12</v>
      </c>
      <c r="G10" s="35">
        <v>21</v>
      </c>
      <c r="H10" s="35">
        <v>7</v>
      </c>
      <c r="I10" s="35">
        <v>9</v>
      </c>
      <c r="J10" s="35">
        <v>9</v>
      </c>
      <c r="K10" s="35">
        <v>10</v>
      </c>
      <c r="L10" s="35">
        <v>1</v>
      </c>
      <c r="M10" s="35">
        <v>11</v>
      </c>
      <c r="N10" s="35">
        <v>1</v>
      </c>
      <c r="O10" s="35">
        <v>6</v>
      </c>
    </row>
    <row r="11" spans="1:15" ht="15" thickBot="1" x14ac:dyDescent="0.4">
      <c r="A11" s="6" t="s">
        <v>39</v>
      </c>
      <c r="B11" s="6" t="s">
        <v>40</v>
      </c>
      <c r="C11" s="27" t="s">
        <v>41</v>
      </c>
      <c r="D11" s="12">
        <v>0.95</v>
      </c>
      <c r="E11" s="12">
        <v>0.7</v>
      </c>
      <c r="F11" s="12">
        <v>0.97</v>
      </c>
      <c r="G11" s="12">
        <v>0.95</v>
      </c>
      <c r="H11" s="12">
        <v>0.9</v>
      </c>
      <c r="I11" s="12">
        <v>0.85</v>
      </c>
      <c r="J11" s="12">
        <v>0.97</v>
      </c>
      <c r="K11" s="12">
        <v>0.82</v>
      </c>
      <c r="L11" s="12">
        <v>0.97</v>
      </c>
      <c r="M11" s="12">
        <v>0.9</v>
      </c>
      <c r="N11" s="12">
        <v>0.85</v>
      </c>
      <c r="O11" s="12">
        <v>0.85</v>
      </c>
    </row>
    <row r="12" spans="1:15" s="36" customFormat="1" ht="15" thickBot="1" x14ac:dyDescent="0.4">
      <c r="A12" s="38" t="s">
        <v>42</v>
      </c>
      <c r="B12" s="38" t="s">
        <v>43</v>
      </c>
      <c r="C12" s="39" t="s">
        <v>44</v>
      </c>
      <c r="D12" s="40">
        <v>982.17</v>
      </c>
      <c r="E12" s="40">
        <v>1276.95</v>
      </c>
      <c r="F12" s="40">
        <v>739.35</v>
      </c>
      <c r="G12" s="40">
        <v>1135.43</v>
      </c>
      <c r="H12" s="40">
        <v>1135.43</v>
      </c>
      <c r="I12" s="40">
        <v>784</v>
      </c>
      <c r="J12" s="40">
        <v>721.87</v>
      </c>
      <c r="K12" s="40">
        <v>804.64</v>
      </c>
      <c r="L12" s="40">
        <v>1516.06</v>
      </c>
      <c r="M12" s="40">
        <v>577.89</v>
      </c>
      <c r="N12" s="40">
        <v>855.11</v>
      </c>
      <c r="O12" s="40">
        <v>727.66</v>
      </c>
    </row>
    <row r="13" spans="1:15" ht="15" thickBot="1" x14ac:dyDescent="0.4">
      <c r="A13" s="3" t="s">
        <v>45</v>
      </c>
      <c r="B13" s="7" t="s">
        <v>46</v>
      </c>
      <c r="C13" s="28" t="s">
        <v>47</v>
      </c>
      <c r="D13" s="17">
        <v>10</v>
      </c>
      <c r="E13" s="17">
        <v>9</v>
      </c>
      <c r="F13" s="17">
        <v>10</v>
      </c>
      <c r="G13" s="17">
        <v>14</v>
      </c>
      <c r="H13" s="17">
        <v>12</v>
      </c>
      <c r="I13" s="17">
        <v>5</v>
      </c>
      <c r="J13" s="17">
        <v>15</v>
      </c>
      <c r="K13" s="17">
        <v>11</v>
      </c>
      <c r="L13" s="17">
        <v>6</v>
      </c>
      <c r="M13" s="17">
        <v>10</v>
      </c>
      <c r="N13" s="17">
        <v>4</v>
      </c>
      <c r="O13" s="17">
        <v>13</v>
      </c>
    </row>
    <row r="14" spans="1:15" ht="15" thickBot="1" x14ac:dyDescent="0.4">
      <c r="A14" s="6" t="s">
        <v>48</v>
      </c>
      <c r="B14" s="6" t="s">
        <v>49</v>
      </c>
      <c r="C14" s="27" t="s">
        <v>50</v>
      </c>
      <c r="D14" s="13">
        <v>2.0443908125428178E-2</v>
      </c>
      <c r="E14" s="13">
        <v>1.0029984626526227</v>
      </c>
      <c r="F14" s="13">
        <v>-0.19011425915460933</v>
      </c>
      <c r="G14" s="13">
        <v>0.22349909581793614</v>
      </c>
      <c r="H14" s="13">
        <v>6.7021741966676984E-2</v>
      </c>
      <c r="I14" s="13">
        <v>0.55728535851829664</v>
      </c>
      <c r="J14" s="13">
        <v>0.49761431924277177</v>
      </c>
      <c r="K14" s="13">
        <v>2.9705925400847821E-2</v>
      </c>
      <c r="L14" s="13">
        <v>4.3119760479041869E-2</v>
      </c>
      <c r="M14" s="13">
        <v>0.56701698583420779</v>
      </c>
      <c r="N14" s="13">
        <v>-0.21522309711286092</v>
      </c>
      <c r="O14" s="13">
        <v>0.21929978502171754</v>
      </c>
    </row>
    <row r="15" spans="1:15" s="36" customFormat="1" ht="15" thickBot="1" x14ac:dyDescent="0.4">
      <c r="A15" s="41" t="s">
        <v>51</v>
      </c>
      <c r="B15" s="41" t="s">
        <v>52</v>
      </c>
      <c r="C15" s="42" t="s">
        <v>53</v>
      </c>
      <c r="D15" s="43">
        <v>164020230.83000001</v>
      </c>
      <c r="E15" s="43">
        <v>26808346.170000002</v>
      </c>
      <c r="F15" s="43">
        <v>70437974.469999999</v>
      </c>
      <c r="G15" s="43">
        <v>37942681.369999997</v>
      </c>
      <c r="H15" s="43">
        <v>9011008.1099999994</v>
      </c>
      <c r="I15" s="43">
        <v>7501947.4000000004</v>
      </c>
      <c r="J15" s="43">
        <v>2247789485.7600002</v>
      </c>
      <c r="K15" s="43">
        <v>349831037.31999999</v>
      </c>
      <c r="L15" s="43">
        <v>99187.44</v>
      </c>
      <c r="M15" s="43">
        <v>105108884.09</v>
      </c>
      <c r="N15" s="43">
        <v>1036966.97</v>
      </c>
      <c r="O15" s="43">
        <v>598808.41</v>
      </c>
    </row>
    <row r="16" spans="1:15" s="36" customFormat="1" ht="15" thickBot="1" x14ac:dyDescent="0.4">
      <c r="A16" s="41" t="s">
        <v>51</v>
      </c>
      <c r="B16" s="41" t="s">
        <v>54</v>
      </c>
      <c r="C16" s="42" t="s">
        <v>55</v>
      </c>
      <c r="D16" s="43">
        <v>742189478.69000006</v>
      </c>
      <c r="E16" s="43">
        <v>432254810.49000001</v>
      </c>
      <c r="F16" s="43">
        <v>270953661.74000001</v>
      </c>
      <c r="G16" s="43">
        <v>96188193.920000002</v>
      </c>
      <c r="H16" s="43">
        <v>2497795.87</v>
      </c>
      <c r="I16" s="43">
        <v>26815816.460000001</v>
      </c>
      <c r="J16" s="43">
        <v>2529697202.4499998</v>
      </c>
      <c r="K16" s="43">
        <v>1030132005.7</v>
      </c>
      <c r="L16" s="43">
        <v>360282.75</v>
      </c>
      <c r="M16" s="43">
        <v>283505256.86000001</v>
      </c>
      <c r="N16" s="43">
        <v>269825.34000000003</v>
      </c>
      <c r="O16" s="43">
        <v>94330062.299999997</v>
      </c>
    </row>
    <row r="17" spans="4:6" x14ac:dyDescent="0.35">
      <c r="F17" s="12"/>
    </row>
    <row r="18" spans="4:6" x14ac:dyDescent="0.35">
      <c r="D18">
        <v>100</v>
      </c>
      <c r="E18">
        <f>(E15*D18)/D15</f>
        <v>16.344536301613736</v>
      </c>
    </row>
    <row r="19" spans="4:6" x14ac:dyDescent="0.35">
      <c r="D19">
        <v>100</v>
      </c>
      <c r="E19">
        <f>(E16*D19)/D16</f>
        <v>58.240492879655264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FF40E-CFFF-44DD-898B-4A1AC06F704A}">
  <dimension ref="A1:S42"/>
  <sheetViews>
    <sheetView topLeftCell="A13" workbookViewId="0">
      <selection activeCell="A31" sqref="A31:B42"/>
    </sheetView>
  </sheetViews>
  <sheetFormatPr baseColWidth="10" defaultColWidth="11.453125" defaultRowHeight="14.5" x14ac:dyDescent="0.35"/>
  <cols>
    <col min="1" max="1" width="30.453125" bestFit="1" customWidth="1"/>
    <col min="2" max="2" width="14.453125" bestFit="1" customWidth="1"/>
    <col min="3" max="3" width="15.7265625" bestFit="1" customWidth="1"/>
    <col min="8" max="9" width="10.81640625" style="20"/>
  </cols>
  <sheetData>
    <row r="1" spans="1:19" x14ac:dyDescent="0.35">
      <c r="A1" s="9" t="s">
        <v>56</v>
      </c>
      <c r="B1" s="9" t="s">
        <v>57</v>
      </c>
      <c r="C1" s="9" t="s">
        <v>58</v>
      </c>
      <c r="D1" s="9" t="s">
        <v>59</v>
      </c>
      <c r="G1" s="11" t="s">
        <v>60</v>
      </c>
      <c r="H1" s="19" t="s">
        <v>61</v>
      </c>
      <c r="I1" s="19" t="s">
        <v>62</v>
      </c>
      <c r="L1" t="s">
        <v>63</v>
      </c>
      <c r="M1" t="s">
        <v>64</v>
      </c>
      <c r="N1" t="s">
        <v>65</v>
      </c>
      <c r="O1" t="s">
        <v>66</v>
      </c>
      <c r="P1" t="s">
        <v>67</v>
      </c>
      <c r="Q1" t="s">
        <v>68</v>
      </c>
      <c r="R1" t="s">
        <v>69</v>
      </c>
      <c r="S1" t="s">
        <v>63</v>
      </c>
    </row>
    <row r="2" spans="1:19" x14ac:dyDescent="0.35">
      <c r="A2" s="10" t="s">
        <v>10</v>
      </c>
      <c r="B2" s="23">
        <v>3484.49</v>
      </c>
      <c r="C2" s="18">
        <v>2945.58</v>
      </c>
      <c r="D2" s="10">
        <v>13</v>
      </c>
      <c r="G2" t="s">
        <v>70</v>
      </c>
      <c r="H2" s="20">
        <v>3673.32</v>
      </c>
      <c r="I2" s="20">
        <v>3715.9800000000005</v>
      </c>
      <c r="L2" t="s">
        <v>70</v>
      </c>
      <c r="M2" s="20">
        <v>3673.32</v>
      </c>
      <c r="N2" s="20">
        <v>3715.9800000000005</v>
      </c>
      <c r="O2" s="21">
        <v>3484.49</v>
      </c>
      <c r="P2" s="20">
        <v>2945.58</v>
      </c>
      <c r="Q2" s="13">
        <f>(M2/O2)-1</f>
        <v>5.4191574663724262E-2</v>
      </c>
      <c r="R2" s="13">
        <f>(N2/P2)-1</f>
        <v>0.26154441570081288</v>
      </c>
      <c r="S2" t="s">
        <v>70</v>
      </c>
    </row>
    <row r="3" spans="1:19" x14ac:dyDescent="0.35">
      <c r="A3" s="10" t="s">
        <v>9</v>
      </c>
      <c r="B3" s="23">
        <v>2326.38</v>
      </c>
      <c r="C3" s="18">
        <v>1709.5</v>
      </c>
      <c r="D3" s="10">
        <v>20</v>
      </c>
      <c r="G3" t="s">
        <v>71</v>
      </c>
      <c r="H3" s="20">
        <v>3484.0199999999995</v>
      </c>
      <c r="I3" s="20">
        <v>3484.0199999999995</v>
      </c>
      <c r="L3" t="s">
        <v>71</v>
      </c>
      <c r="M3" s="20">
        <v>3484.0199999999995</v>
      </c>
      <c r="N3" s="20">
        <v>3484.0199999999995</v>
      </c>
      <c r="O3" s="20">
        <v>2326.38</v>
      </c>
      <c r="P3" s="22">
        <v>1709.5</v>
      </c>
      <c r="Q3" s="13">
        <f t="shared" ref="Q3:Q13" si="0">(M3/O3)-1</f>
        <v>0.49761431924277177</v>
      </c>
      <c r="R3" s="13">
        <f t="shared" ref="R3:R13" si="1">(N3/P3)-1</f>
        <v>1.0380345130155013</v>
      </c>
      <c r="S3" t="s">
        <v>71</v>
      </c>
    </row>
    <row r="4" spans="1:19" x14ac:dyDescent="0.35">
      <c r="A4" s="10" t="s">
        <v>5</v>
      </c>
      <c r="B4" s="23">
        <v>2990.57</v>
      </c>
      <c r="C4" s="18">
        <v>2661.5</v>
      </c>
      <c r="D4" s="10">
        <v>8</v>
      </c>
      <c r="G4" t="s">
        <v>72</v>
      </c>
      <c r="H4" s="20">
        <v>3067.66</v>
      </c>
      <c r="I4" s="20">
        <v>3064.98</v>
      </c>
      <c r="L4" t="s">
        <v>72</v>
      </c>
      <c r="M4" s="20">
        <v>3067.66</v>
      </c>
      <c r="N4" s="20">
        <v>3064.98</v>
      </c>
      <c r="O4" s="20">
        <v>2990.57</v>
      </c>
      <c r="P4" s="20">
        <v>2661.5</v>
      </c>
      <c r="Q4" s="13">
        <f t="shared" si="0"/>
        <v>2.5777694553212216E-2</v>
      </c>
      <c r="R4" s="13">
        <f t="shared" si="1"/>
        <v>0.15159872252489204</v>
      </c>
      <c r="S4" t="s">
        <v>72</v>
      </c>
    </row>
    <row r="5" spans="1:19" x14ac:dyDescent="0.35">
      <c r="A5" s="10" t="s">
        <v>12</v>
      </c>
      <c r="B5" s="23">
        <v>2439.6799999999998</v>
      </c>
      <c r="C5" s="18">
        <v>1672</v>
      </c>
      <c r="D5" s="10">
        <v>11</v>
      </c>
      <c r="G5" t="s">
        <v>73</v>
      </c>
      <c r="H5" s="20">
        <v>3823.0199999999995</v>
      </c>
      <c r="I5" s="20">
        <v>3823.0199999999995</v>
      </c>
      <c r="L5" t="s">
        <v>73</v>
      </c>
      <c r="M5" s="20">
        <v>3823.0199999999995</v>
      </c>
      <c r="N5" s="20">
        <v>3823.0199999999995</v>
      </c>
      <c r="O5" s="21">
        <v>2439.6799999999998</v>
      </c>
      <c r="P5" s="21">
        <v>1672</v>
      </c>
      <c r="Q5" s="13">
        <f t="shared" si="0"/>
        <v>0.56701698583420779</v>
      </c>
      <c r="R5" s="13">
        <f t="shared" si="1"/>
        <v>1.2864952153110045</v>
      </c>
      <c r="S5" t="s">
        <v>73</v>
      </c>
    </row>
    <row r="6" spans="1:19" x14ac:dyDescent="0.35">
      <c r="A6" s="10" t="s">
        <v>6</v>
      </c>
      <c r="B6" s="23">
        <v>3942.79</v>
      </c>
      <c r="C6" s="18">
        <v>3225</v>
      </c>
      <c r="D6" s="10">
        <v>11</v>
      </c>
      <c r="G6" t="s">
        <v>74</v>
      </c>
      <c r="H6" s="20">
        <v>4824</v>
      </c>
      <c r="I6" s="20">
        <v>4824</v>
      </c>
      <c r="L6" t="s">
        <v>74</v>
      </c>
      <c r="M6" s="20">
        <v>4824</v>
      </c>
      <c r="N6" s="20">
        <v>4824</v>
      </c>
      <c r="O6" s="21">
        <v>3942.79</v>
      </c>
      <c r="P6" s="21">
        <v>3225</v>
      </c>
      <c r="Q6" s="13">
        <f t="shared" si="0"/>
        <v>0.22349909581793614</v>
      </c>
      <c r="R6" s="13">
        <f t="shared" si="1"/>
        <v>0.49581395348837209</v>
      </c>
      <c r="S6" t="s">
        <v>74</v>
      </c>
    </row>
    <row r="7" spans="1:19" x14ac:dyDescent="0.35">
      <c r="A7" s="10" t="s">
        <v>75</v>
      </c>
      <c r="B7" s="23">
        <v>2204.4899999999998</v>
      </c>
      <c r="C7" s="18">
        <v>1953.82</v>
      </c>
      <c r="D7" s="10">
        <v>5</v>
      </c>
      <c r="G7" t="s">
        <v>76</v>
      </c>
      <c r="H7" s="20">
        <v>3527.11</v>
      </c>
      <c r="I7" s="20">
        <v>3484.0199999999995</v>
      </c>
      <c r="L7" t="s">
        <v>76</v>
      </c>
      <c r="M7" s="20">
        <v>3527.11</v>
      </c>
      <c r="N7" s="20">
        <v>3484.0199999999995</v>
      </c>
      <c r="O7" s="21">
        <v>2204.4899999999998</v>
      </c>
      <c r="P7" s="21">
        <v>1953.82</v>
      </c>
      <c r="Q7" s="13">
        <f t="shared" si="0"/>
        <v>0.59996643214530376</v>
      </c>
      <c r="R7" s="13">
        <f t="shared" si="1"/>
        <v>0.78318371190795455</v>
      </c>
      <c r="S7" t="s">
        <v>76</v>
      </c>
    </row>
    <row r="8" spans="1:19" x14ac:dyDescent="0.35">
      <c r="A8" s="10" t="s">
        <v>13</v>
      </c>
      <c r="B8" s="23">
        <v>4572</v>
      </c>
      <c r="C8" s="18">
        <v>4345</v>
      </c>
      <c r="D8" s="10">
        <v>3</v>
      </c>
      <c r="G8" t="s">
        <v>77</v>
      </c>
      <c r="H8" s="20">
        <f>598*6</f>
        <v>3588</v>
      </c>
      <c r="I8" s="20">
        <f>598*6</f>
        <v>3588</v>
      </c>
      <c r="L8" t="s">
        <v>77</v>
      </c>
      <c r="M8" s="20">
        <f>598*6</f>
        <v>3588</v>
      </c>
      <c r="N8" s="20">
        <f>598*6</f>
        <v>3588</v>
      </c>
      <c r="O8" s="21">
        <v>4572</v>
      </c>
      <c r="P8" s="21">
        <v>4345</v>
      </c>
      <c r="Q8" s="13">
        <f t="shared" si="0"/>
        <v>-0.21522309711286092</v>
      </c>
      <c r="R8" s="13">
        <f t="shared" si="1"/>
        <v>-0.17422324510932108</v>
      </c>
      <c r="S8" t="s">
        <v>77</v>
      </c>
    </row>
    <row r="9" spans="1:19" x14ac:dyDescent="0.35">
      <c r="A9" s="10" t="s">
        <v>3</v>
      </c>
      <c r="B9" s="23">
        <v>3414.22</v>
      </c>
      <c r="C9" s="18">
        <v>3828</v>
      </c>
      <c r="D9" s="10">
        <v>9</v>
      </c>
      <c r="G9" t="s">
        <v>78</v>
      </c>
      <c r="H9" s="20">
        <v>3487.518</v>
      </c>
      <c r="I9" s="20">
        <v>3484.0199999999995</v>
      </c>
      <c r="L9" s="24" t="s">
        <v>78</v>
      </c>
      <c r="M9" s="20">
        <v>3487.518</v>
      </c>
      <c r="N9" s="20">
        <v>3484.02</v>
      </c>
      <c r="O9" s="21">
        <v>3414.22</v>
      </c>
      <c r="P9" s="21">
        <v>3828</v>
      </c>
      <c r="Q9" s="13">
        <f t="shared" si="0"/>
        <v>2.146844667303216E-2</v>
      </c>
      <c r="R9" s="13">
        <f>(N9/P9)-1</f>
        <v>-8.9858934169279037E-2</v>
      </c>
      <c r="S9" t="s">
        <v>78</v>
      </c>
    </row>
    <row r="10" spans="1:19" x14ac:dyDescent="0.35">
      <c r="A10" s="10" t="s">
        <v>7</v>
      </c>
      <c r="B10" s="23">
        <v>3909.03</v>
      </c>
      <c r="C10" s="18">
        <v>3766.5</v>
      </c>
      <c r="D10" s="10">
        <v>10</v>
      </c>
      <c r="G10" t="s">
        <v>79</v>
      </c>
      <c r="H10" s="20">
        <v>4171.0199999999995</v>
      </c>
      <c r="I10" s="20">
        <v>4171.0199999999995</v>
      </c>
      <c r="L10" t="s">
        <v>79</v>
      </c>
      <c r="M10" s="20">
        <v>4171.0199999999995</v>
      </c>
      <c r="N10" s="20">
        <v>4171.0199999999995</v>
      </c>
      <c r="O10" s="21">
        <v>3909.03</v>
      </c>
      <c r="P10" s="21">
        <v>3766.5</v>
      </c>
      <c r="Q10" s="13">
        <f t="shared" si="0"/>
        <v>6.7021741966676984E-2</v>
      </c>
      <c r="R10" s="13">
        <f t="shared" si="1"/>
        <v>0.10739944245320587</v>
      </c>
      <c r="S10" t="s">
        <v>79</v>
      </c>
    </row>
    <row r="11" spans="1:19" x14ac:dyDescent="0.35">
      <c r="A11" s="10" t="s">
        <v>14</v>
      </c>
      <c r="B11" s="23">
        <v>2735.16</v>
      </c>
      <c r="C11" s="18">
        <v>2164.16</v>
      </c>
      <c r="D11" s="10">
        <v>23</v>
      </c>
      <c r="G11" t="s">
        <v>80</v>
      </c>
      <c r="H11" s="20">
        <v>2808.9866666666671</v>
      </c>
      <c r="I11" s="20">
        <v>3334.9800000000005</v>
      </c>
      <c r="L11" t="s">
        <v>80</v>
      </c>
      <c r="M11" s="20">
        <v>2808.9866666666671</v>
      </c>
      <c r="N11" s="20">
        <v>3334.9800000000005</v>
      </c>
      <c r="O11" s="21">
        <v>2735.16</v>
      </c>
      <c r="P11" s="21">
        <v>2164.16</v>
      </c>
      <c r="Q11" s="13">
        <f t="shared" si="0"/>
        <v>2.6991717730102449E-2</v>
      </c>
      <c r="R11" s="13">
        <f t="shared" si="1"/>
        <v>0.54100436196954038</v>
      </c>
      <c r="S11" t="s">
        <v>80</v>
      </c>
    </row>
    <row r="12" spans="1:19" x14ac:dyDescent="0.35">
      <c r="A12" s="10" t="s">
        <v>81</v>
      </c>
      <c r="B12" s="23">
        <v>3340</v>
      </c>
      <c r="C12" s="18">
        <v>4175</v>
      </c>
      <c r="D12" s="10">
        <v>5</v>
      </c>
      <c r="G12" t="s">
        <v>82</v>
      </c>
      <c r="H12" s="20">
        <v>3480</v>
      </c>
      <c r="I12" s="20">
        <v>3480</v>
      </c>
      <c r="L12" t="s">
        <v>82</v>
      </c>
      <c r="M12" s="20">
        <v>3480</v>
      </c>
      <c r="N12" s="20">
        <v>3480</v>
      </c>
      <c r="O12" s="21">
        <v>3340</v>
      </c>
      <c r="P12" s="21">
        <v>4175</v>
      </c>
      <c r="Q12" s="13">
        <f t="shared" si="0"/>
        <v>4.1916167664670656E-2</v>
      </c>
      <c r="R12" s="13">
        <f t="shared" si="1"/>
        <v>-0.16646706586826343</v>
      </c>
      <c r="S12" t="s">
        <v>82</v>
      </c>
    </row>
    <row r="13" spans="1:19" x14ac:dyDescent="0.35">
      <c r="A13" s="10" t="s">
        <v>4</v>
      </c>
      <c r="B13" s="23">
        <v>1574.14</v>
      </c>
      <c r="C13" s="18">
        <v>1650</v>
      </c>
      <c r="D13" s="10">
        <v>9</v>
      </c>
      <c r="G13" t="s">
        <v>83</v>
      </c>
      <c r="H13" s="20">
        <v>3360.6046153846155</v>
      </c>
      <c r="I13" s="20">
        <v>3484.0199999999995</v>
      </c>
      <c r="L13" t="s">
        <v>83</v>
      </c>
      <c r="M13" s="20">
        <v>3360.6046153846155</v>
      </c>
      <c r="N13" s="20">
        <v>3484.0199999999995</v>
      </c>
      <c r="O13" s="21">
        <v>1684.35</v>
      </c>
      <c r="P13" s="21">
        <v>1520</v>
      </c>
      <c r="Q13" s="13">
        <f t="shared" si="0"/>
        <v>0.9951937634010839</v>
      </c>
      <c r="R13" s="13">
        <f t="shared" si="1"/>
        <v>1.2921184210526313</v>
      </c>
      <c r="S13" t="s">
        <v>83</v>
      </c>
    </row>
    <row r="14" spans="1:19" x14ac:dyDescent="0.35">
      <c r="A14" s="10"/>
      <c r="B14" s="18"/>
      <c r="C14" s="18" t="s">
        <v>84</v>
      </c>
      <c r="D14" s="10" t="s">
        <v>61</v>
      </c>
    </row>
    <row r="15" spans="1:19" x14ac:dyDescent="0.35">
      <c r="A15" s="10" t="s">
        <v>10</v>
      </c>
      <c r="B15" s="23">
        <v>598</v>
      </c>
      <c r="C15">
        <f>B15*6</f>
        <v>3588</v>
      </c>
      <c r="D15" s="23">
        <v>3484.49</v>
      </c>
      <c r="E15" s="13">
        <f>(C15/D15)-1</f>
        <v>2.9705925400847821E-2</v>
      </c>
      <c r="F15" t="s">
        <v>10</v>
      </c>
    </row>
    <row r="16" spans="1:19" x14ac:dyDescent="0.35">
      <c r="A16" s="10" t="s">
        <v>9</v>
      </c>
      <c r="B16" s="23">
        <v>580.66999999999996</v>
      </c>
      <c r="C16">
        <f t="shared" ref="C16:C26" si="2">B16*6</f>
        <v>3484.0199999999995</v>
      </c>
      <c r="D16" s="23">
        <v>2326.38</v>
      </c>
      <c r="E16" s="13">
        <f t="shared" ref="E16:E26" si="3">(C16/D16)-1</f>
        <v>0.49761431924277177</v>
      </c>
      <c r="F16" t="s">
        <v>9</v>
      </c>
    </row>
    <row r="17" spans="1:6" x14ac:dyDescent="0.35">
      <c r="A17" s="10" t="s">
        <v>5</v>
      </c>
      <c r="B17" s="23">
        <v>403.67</v>
      </c>
      <c r="C17">
        <f t="shared" si="2"/>
        <v>2422.02</v>
      </c>
      <c r="D17" s="23">
        <v>2990.57</v>
      </c>
      <c r="E17" s="13">
        <f t="shared" si="3"/>
        <v>-0.19011425915460933</v>
      </c>
      <c r="F17" t="s">
        <v>5</v>
      </c>
    </row>
    <row r="18" spans="1:6" x14ac:dyDescent="0.35">
      <c r="A18" s="10" t="s">
        <v>12</v>
      </c>
      <c r="B18" s="23">
        <v>637.16999999999996</v>
      </c>
      <c r="C18">
        <f t="shared" si="2"/>
        <v>3823.0199999999995</v>
      </c>
      <c r="D18" s="23">
        <v>2439.6799999999998</v>
      </c>
      <c r="E18" s="13">
        <f t="shared" si="3"/>
        <v>0.56701698583420779</v>
      </c>
      <c r="F18" t="s">
        <v>12</v>
      </c>
    </row>
    <row r="19" spans="1:6" x14ac:dyDescent="0.35">
      <c r="A19" s="10" t="s">
        <v>6</v>
      </c>
      <c r="B19" s="23">
        <v>804</v>
      </c>
      <c r="C19">
        <f t="shared" si="2"/>
        <v>4824</v>
      </c>
      <c r="D19" s="23">
        <v>3942.79</v>
      </c>
      <c r="E19" s="13">
        <f t="shared" si="3"/>
        <v>0.22349909581793614</v>
      </c>
      <c r="F19" t="s">
        <v>6</v>
      </c>
    </row>
    <row r="20" spans="1:6" x14ac:dyDescent="0.35">
      <c r="A20" s="10" t="s">
        <v>75</v>
      </c>
      <c r="B20" s="23">
        <v>572.16999999999996</v>
      </c>
      <c r="C20">
        <f t="shared" si="2"/>
        <v>3433.0199999999995</v>
      </c>
      <c r="D20" s="23">
        <v>2204.4899999999998</v>
      </c>
      <c r="E20" s="13">
        <f t="shared" si="3"/>
        <v>0.55728535851829664</v>
      </c>
      <c r="F20" t="s">
        <v>75</v>
      </c>
    </row>
    <row r="21" spans="1:6" x14ac:dyDescent="0.35">
      <c r="A21" s="10" t="s">
        <v>13</v>
      </c>
      <c r="B21" s="23">
        <v>598</v>
      </c>
      <c r="C21">
        <f t="shared" si="2"/>
        <v>3588</v>
      </c>
      <c r="D21" s="23">
        <v>4572</v>
      </c>
      <c r="E21" s="13">
        <f t="shared" si="3"/>
        <v>-0.21522309711286092</v>
      </c>
      <c r="F21" t="s">
        <v>13</v>
      </c>
    </row>
    <row r="22" spans="1:6" x14ac:dyDescent="0.35">
      <c r="A22" s="10" t="s">
        <v>3</v>
      </c>
      <c r="B22" s="23">
        <v>580.66999999999996</v>
      </c>
      <c r="C22">
        <f t="shared" si="2"/>
        <v>3484.0199999999995</v>
      </c>
      <c r="D22" s="23">
        <v>3414.22</v>
      </c>
      <c r="E22" s="13">
        <f t="shared" si="3"/>
        <v>2.0443908125428178E-2</v>
      </c>
      <c r="F22" t="s">
        <v>3</v>
      </c>
    </row>
    <row r="23" spans="1:6" x14ac:dyDescent="0.35">
      <c r="A23" s="10" t="s">
        <v>7</v>
      </c>
      <c r="B23" s="23">
        <v>695.17</v>
      </c>
      <c r="C23">
        <f t="shared" si="2"/>
        <v>4171.0199999999995</v>
      </c>
      <c r="D23" s="23">
        <v>3909.03</v>
      </c>
      <c r="E23" s="13">
        <f t="shared" si="3"/>
        <v>6.7021741966676984E-2</v>
      </c>
      <c r="F23" t="s">
        <v>7</v>
      </c>
    </row>
    <row r="24" spans="1:6" x14ac:dyDescent="0.35">
      <c r="A24" s="10" t="s">
        <v>14</v>
      </c>
      <c r="B24" s="23">
        <v>555.83000000000004</v>
      </c>
      <c r="C24">
        <f t="shared" si="2"/>
        <v>3334.9800000000005</v>
      </c>
      <c r="D24" s="23">
        <v>2735.16</v>
      </c>
      <c r="E24" s="13">
        <f t="shared" si="3"/>
        <v>0.21929978502171754</v>
      </c>
      <c r="F24" t="s">
        <v>14</v>
      </c>
    </row>
    <row r="25" spans="1:6" x14ac:dyDescent="0.35">
      <c r="A25" s="10" t="s">
        <v>81</v>
      </c>
      <c r="B25" s="23">
        <v>580.66999999999996</v>
      </c>
      <c r="C25">
        <f t="shared" si="2"/>
        <v>3484.0199999999995</v>
      </c>
      <c r="D25" s="23">
        <v>3340</v>
      </c>
      <c r="E25" s="13">
        <f t="shared" si="3"/>
        <v>4.3119760479041869E-2</v>
      </c>
      <c r="F25" t="s">
        <v>81</v>
      </c>
    </row>
    <row r="26" spans="1:6" x14ac:dyDescent="0.35">
      <c r="A26" s="10" t="s">
        <v>4</v>
      </c>
      <c r="B26" s="23">
        <v>525.5</v>
      </c>
      <c r="C26">
        <f t="shared" si="2"/>
        <v>3153</v>
      </c>
      <c r="D26" s="23">
        <v>1574.14</v>
      </c>
      <c r="E26" s="13">
        <f t="shared" si="3"/>
        <v>1.0029984626526227</v>
      </c>
      <c r="F26" t="s">
        <v>4</v>
      </c>
    </row>
    <row r="31" spans="1:6" x14ac:dyDescent="0.35">
      <c r="A31" t="s">
        <v>10</v>
      </c>
      <c r="B31" t="s">
        <v>85</v>
      </c>
    </row>
    <row r="32" spans="1:6" x14ac:dyDescent="0.35">
      <c r="A32" t="s">
        <v>9</v>
      </c>
      <c r="B32" t="s">
        <v>86</v>
      </c>
    </row>
    <row r="33" spans="1:2" x14ac:dyDescent="0.35">
      <c r="A33" t="s">
        <v>5</v>
      </c>
      <c r="B33" t="s">
        <v>87</v>
      </c>
    </row>
    <row r="34" spans="1:2" x14ac:dyDescent="0.35">
      <c r="A34" t="s">
        <v>12</v>
      </c>
      <c r="B34" t="s">
        <v>88</v>
      </c>
    </row>
    <row r="35" spans="1:2" x14ac:dyDescent="0.35">
      <c r="A35" t="s">
        <v>6</v>
      </c>
      <c r="B35" t="s">
        <v>89</v>
      </c>
    </row>
    <row r="36" spans="1:2" x14ac:dyDescent="0.35">
      <c r="A36" t="s">
        <v>75</v>
      </c>
      <c r="B36" t="s">
        <v>90</v>
      </c>
    </row>
    <row r="37" spans="1:2" x14ac:dyDescent="0.35">
      <c r="A37" t="s">
        <v>13</v>
      </c>
      <c r="B37" t="s">
        <v>91</v>
      </c>
    </row>
    <row r="38" spans="1:2" x14ac:dyDescent="0.35">
      <c r="A38" t="s">
        <v>3</v>
      </c>
      <c r="B38" t="s">
        <v>92</v>
      </c>
    </row>
    <row r="39" spans="1:2" x14ac:dyDescent="0.35">
      <c r="A39" t="s">
        <v>7</v>
      </c>
      <c r="B39" t="s">
        <v>93</v>
      </c>
    </row>
    <row r="40" spans="1:2" x14ac:dyDescent="0.35">
      <c r="A40" t="s">
        <v>14</v>
      </c>
      <c r="B40" t="s">
        <v>94</v>
      </c>
    </row>
    <row r="41" spans="1:2" x14ac:dyDescent="0.35">
      <c r="A41" t="s">
        <v>81</v>
      </c>
      <c r="B41" t="s">
        <v>95</v>
      </c>
    </row>
    <row r="42" spans="1:2" x14ac:dyDescent="0.35">
      <c r="A42" t="s">
        <v>4</v>
      </c>
      <c r="B42"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07201-5A7B-42CF-87F1-F5374C2358C8}">
  <dimension ref="A1:T49"/>
  <sheetViews>
    <sheetView topLeftCell="A29" workbookViewId="0">
      <selection activeCell="D62" sqref="D62"/>
    </sheetView>
  </sheetViews>
  <sheetFormatPr baseColWidth="10" defaultColWidth="11.453125" defaultRowHeight="14.5" x14ac:dyDescent="0.35"/>
  <sheetData>
    <row r="1" spans="1:20" x14ac:dyDescent="0.35">
      <c r="A1" t="s">
        <v>97</v>
      </c>
      <c r="B1" t="s">
        <v>98</v>
      </c>
      <c r="C1" t="s">
        <v>99</v>
      </c>
    </row>
    <row r="2" spans="1:20" x14ac:dyDescent="0.35">
      <c r="A2" t="s">
        <v>100</v>
      </c>
      <c r="B2" t="s">
        <v>101</v>
      </c>
      <c r="C2">
        <v>56</v>
      </c>
      <c r="E2" t="s">
        <v>71</v>
      </c>
      <c r="F2" t="s">
        <v>102</v>
      </c>
      <c r="G2">
        <v>16</v>
      </c>
      <c r="I2" t="s">
        <v>74</v>
      </c>
      <c r="J2" t="s">
        <v>103</v>
      </c>
      <c r="K2">
        <v>12</v>
      </c>
      <c r="M2" t="s">
        <v>77</v>
      </c>
      <c r="N2" t="s">
        <v>104</v>
      </c>
      <c r="O2">
        <v>34</v>
      </c>
      <c r="Q2" t="s">
        <v>73</v>
      </c>
      <c r="R2" t="s">
        <v>105</v>
      </c>
      <c r="S2">
        <v>12</v>
      </c>
    </row>
    <row r="3" spans="1:20" x14ac:dyDescent="0.35">
      <c r="A3" t="s">
        <v>100</v>
      </c>
      <c r="B3" t="s">
        <v>106</v>
      </c>
      <c r="C3">
        <v>30</v>
      </c>
      <c r="E3" t="s">
        <v>71</v>
      </c>
      <c r="F3" t="s">
        <v>107</v>
      </c>
      <c r="G3">
        <v>10</v>
      </c>
      <c r="I3" t="s">
        <v>74</v>
      </c>
      <c r="J3" t="s">
        <v>108</v>
      </c>
      <c r="K3">
        <v>11</v>
      </c>
      <c r="M3" t="s">
        <v>77</v>
      </c>
      <c r="N3" t="s">
        <v>109</v>
      </c>
      <c r="O3">
        <v>15</v>
      </c>
      <c r="Q3" t="s">
        <v>73</v>
      </c>
      <c r="R3" t="s">
        <v>110</v>
      </c>
      <c r="S3">
        <v>12</v>
      </c>
    </row>
    <row r="4" spans="1:20" x14ac:dyDescent="0.35">
      <c r="A4" t="s">
        <v>100</v>
      </c>
      <c r="B4" t="s">
        <v>111</v>
      </c>
      <c r="C4">
        <v>15</v>
      </c>
      <c r="E4" t="s">
        <v>71</v>
      </c>
      <c r="F4" t="s">
        <v>112</v>
      </c>
      <c r="G4">
        <v>9</v>
      </c>
      <c r="I4" t="s">
        <v>74</v>
      </c>
      <c r="J4" t="s">
        <v>113</v>
      </c>
      <c r="K4">
        <v>11</v>
      </c>
      <c r="M4" t="s">
        <v>77</v>
      </c>
      <c r="N4" t="s">
        <v>114</v>
      </c>
      <c r="O4">
        <v>14</v>
      </c>
      <c r="Q4" t="s">
        <v>73</v>
      </c>
      <c r="R4" t="s">
        <v>115</v>
      </c>
      <c r="S4">
        <v>12</v>
      </c>
    </row>
    <row r="5" spans="1:20" x14ac:dyDescent="0.35">
      <c r="A5" t="s">
        <v>100</v>
      </c>
      <c r="B5" t="s">
        <v>116</v>
      </c>
      <c r="C5">
        <v>15</v>
      </c>
      <c r="E5" t="s">
        <v>71</v>
      </c>
      <c r="F5" t="s">
        <v>117</v>
      </c>
      <c r="G5">
        <v>9</v>
      </c>
      <c r="I5" t="s">
        <v>74</v>
      </c>
      <c r="J5" t="s">
        <v>118</v>
      </c>
      <c r="K5">
        <v>10</v>
      </c>
      <c r="M5" t="s">
        <v>77</v>
      </c>
      <c r="N5" t="s">
        <v>119</v>
      </c>
      <c r="O5">
        <v>13</v>
      </c>
      <c r="Q5" t="s">
        <v>73</v>
      </c>
      <c r="R5" t="s">
        <v>120</v>
      </c>
      <c r="S5">
        <v>9</v>
      </c>
    </row>
    <row r="6" spans="1:20" x14ac:dyDescent="0.35">
      <c r="A6" t="s">
        <v>100</v>
      </c>
      <c r="B6" t="s">
        <v>121</v>
      </c>
      <c r="C6">
        <v>14</v>
      </c>
      <c r="E6" t="s">
        <v>71</v>
      </c>
      <c r="F6" t="s">
        <v>122</v>
      </c>
      <c r="G6">
        <v>8</v>
      </c>
      <c r="I6" t="s">
        <v>74</v>
      </c>
      <c r="J6" t="s">
        <v>123</v>
      </c>
      <c r="K6">
        <v>9</v>
      </c>
      <c r="M6" t="s">
        <v>77</v>
      </c>
      <c r="N6" t="s">
        <v>124</v>
      </c>
      <c r="O6">
        <v>13</v>
      </c>
      <c r="Q6" t="s">
        <v>73</v>
      </c>
      <c r="R6" t="s">
        <v>125</v>
      </c>
      <c r="S6">
        <v>9</v>
      </c>
    </row>
    <row r="7" spans="1:20" x14ac:dyDescent="0.35">
      <c r="A7" t="s">
        <v>100</v>
      </c>
      <c r="B7" t="s">
        <v>126</v>
      </c>
      <c r="C7">
        <v>13</v>
      </c>
      <c r="E7" t="s">
        <v>71</v>
      </c>
      <c r="F7" t="s">
        <v>127</v>
      </c>
      <c r="G7">
        <v>8</v>
      </c>
      <c r="I7" t="s">
        <v>74</v>
      </c>
      <c r="J7" t="s">
        <v>128</v>
      </c>
      <c r="K7">
        <v>9</v>
      </c>
      <c r="M7" t="s">
        <v>77</v>
      </c>
      <c r="N7" t="s">
        <v>129</v>
      </c>
      <c r="O7">
        <v>11</v>
      </c>
      <c r="Q7" t="s">
        <v>73</v>
      </c>
      <c r="R7" t="s">
        <v>130</v>
      </c>
      <c r="S7">
        <v>9</v>
      </c>
    </row>
    <row r="8" spans="1:20" x14ac:dyDescent="0.35">
      <c r="A8" t="s">
        <v>100</v>
      </c>
      <c r="B8" t="s">
        <v>131</v>
      </c>
      <c r="C8">
        <v>10</v>
      </c>
      <c r="E8" t="s">
        <v>71</v>
      </c>
      <c r="F8" t="s">
        <v>132</v>
      </c>
      <c r="G8">
        <v>7</v>
      </c>
      <c r="I8" t="s">
        <v>74</v>
      </c>
      <c r="J8" t="s">
        <v>133</v>
      </c>
      <c r="K8">
        <v>8</v>
      </c>
      <c r="M8" t="s">
        <v>77</v>
      </c>
      <c r="N8" t="s">
        <v>134</v>
      </c>
      <c r="O8">
        <v>11</v>
      </c>
      <c r="Q8" t="s">
        <v>73</v>
      </c>
      <c r="R8" t="s">
        <v>135</v>
      </c>
      <c r="S8">
        <v>9</v>
      </c>
    </row>
    <row r="9" spans="1:20" x14ac:dyDescent="0.35">
      <c r="A9" t="s">
        <v>100</v>
      </c>
      <c r="B9" t="s">
        <v>136</v>
      </c>
      <c r="C9">
        <v>8</v>
      </c>
      <c r="E9" t="s">
        <v>71</v>
      </c>
      <c r="F9" t="s">
        <v>137</v>
      </c>
      <c r="G9">
        <v>7</v>
      </c>
      <c r="I9" t="s">
        <v>74</v>
      </c>
      <c r="J9" t="s">
        <v>138</v>
      </c>
      <c r="K9">
        <v>8</v>
      </c>
      <c r="M9" t="s">
        <v>77</v>
      </c>
      <c r="N9" t="s">
        <v>139</v>
      </c>
      <c r="O9">
        <v>8</v>
      </c>
      <c r="Q9" t="s">
        <v>73</v>
      </c>
      <c r="R9" t="s">
        <v>140</v>
      </c>
      <c r="S9">
        <v>8</v>
      </c>
    </row>
    <row r="10" spans="1:20" x14ac:dyDescent="0.35">
      <c r="A10" t="s">
        <v>100</v>
      </c>
      <c r="B10" t="s">
        <v>141</v>
      </c>
      <c r="C10">
        <v>8</v>
      </c>
      <c r="E10" t="s">
        <v>71</v>
      </c>
      <c r="F10" t="s">
        <v>142</v>
      </c>
      <c r="G10">
        <v>7</v>
      </c>
      <c r="I10" t="s">
        <v>74</v>
      </c>
      <c r="J10" t="s">
        <v>143</v>
      </c>
      <c r="K10">
        <v>5</v>
      </c>
      <c r="M10" t="s">
        <v>77</v>
      </c>
      <c r="N10" t="s">
        <v>144</v>
      </c>
      <c r="O10">
        <v>8</v>
      </c>
      <c r="Q10" t="s">
        <v>73</v>
      </c>
      <c r="R10" t="s">
        <v>145</v>
      </c>
      <c r="S10">
        <v>8</v>
      </c>
    </row>
    <row r="11" spans="1:20" x14ac:dyDescent="0.35">
      <c r="A11" t="s">
        <v>100</v>
      </c>
      <c r="B11" t="s">
        <v>146</v>
      </c>
      <c r="C11">
        <v>7</v>
      </c>
      <c r="E11" t="s">
        <v>71</v>
      </c>
      <c r="F11" t="s">
        <v>147</v>
      </c>
      <c r="G11">
        <v>7</v>
      </c>
      <c r="I11" t="s">
        <v>74</v>
      </c>
      <c r="J11" t="s">
        <v>148</v>
      </c>
      <c r="K11">
        <v>5</v>
      </c>
      <c r="M11" t="s">
        <v>77</v>
      </c>
      <c r="N11" t="s">
        <v>149</v>
      </c>
      <c r="O11">
        <v>6</v>
      </c>
      <c r="Q11" t="s">
        <v>73</v>
      </c>
      <c r="R11" t="s">
        <v>150</v>
      </c>
      <c r="S11">
        <v>7</v>
      </c>
    </row>
    <row r="12" spans="1:20" ht="15.5" x14ac:dyDescent="0.35">
      <c r="C12" s="16" cm="1">
        <f t="array" ref="C12">AVERAGE(LARGE(C2:C11,{1;2;3;4;5;6}))</f>
        <v>23.833333333333332</v>
      </c>
      <c r="D12">
        <f>AVERAGE(C2:C11)</f>
        <v>17.600000000000001</v>
      </c>
      <c r="G12" s="16" cm="1">
        <f t="array" ref="G12">AVERAGE(LARGE(G2:G11,{1;2;3;4;5;6}))</f>
        <v>10</v>
      </c>
      <c r="H12">
        <f>AVERAGE(G2:G11)</f>
        <v>8.8000000000000007</v>
      </c>
      <c r="K12" s="16" cm="1">
        <f t="array" ref="K12">AVERAGE(LARGE(K2:K11,{1;2;3;4;5;6}))</f>
        <v>10.333333333333334</v>
      </c>
      <c r="L12">
        <f>AVERAGE(K2:K11)</f>
        <v>8.8000000000000007</v>
      </c>
      <c r="O12" s="16" cm="1">
        <f t="array" ref="O12">AVERAGE(LARGE(O2:O11,{1;2;3;4;5;6}))</f>
        <v>16.666666666666668</v>
      </c>
      <c r="P12">
        <f>AVERAGE(O2:O11)</f>
        <v>13.3</v>
      </c>
      <c r="S12" s="16" cm="1">
        <f t="array" ref="S12">AVERAGE(LARGE(S2:S11,{1;2;3;4;5;6}))</f>
        <v>10.5</v>
      </c>
      <c r="T12">
        <f>AVERAGE(S2:S11)</f>
        <v>9.5</v>
      </c>
    </row>
    <row r="14" spans="1:20" x14ac:dyDescent="0.35">
      <c r="A14" t="s">
        <v>151</v>
      </c>
      <c r="B14" t="s">
        <v>152</v>
      </c>
      <c r="C14">
        <v>18</v>
      </c>
      <c r="E14" t="s">
        <v>153</v>
      </c>
      <c r="F14" t="s">
        <v>154</v>
      </c>
      <c r="G14">
        <v>42</v>
      </c>
      <c r="I14" t="s">
        <v>70</v>
      </c>
      <c r="J14" t="s">
        <v>155</v>
      </c>
      <c r="K14">
        <v>24</v>
      </c>
      <c r="M14" t="s">
        <v>156</v>
      </c>
      <c r="N14" t="s">
        <v>157</v>
      </c>
      <c r="O14">
        <v>15</v>
      </c>
      <c r="Q14" t="s">
        <v>158</v>
      </c>
      <c r="R14" t="s">
        <v>159</v>
      </c>
      <c r="S14">
        <v>15</v>
      </c>
    </row>
    <row r="15" spans="1:20" x14ac:dyDescent="0.35">
      <c r="A15" t="s">
        <v>151</v>
      </c>
      <c r="B15" t="s">
        <v>160</v>
      </c>
      <c r="C15">
        <v>14</v>
      </c>
      <c r="E15" t="s">
        <v>153</v>
      </c>
      <c r="F15" t="s">
        <v>161</v>
      </c>
      <c r="G15">
        <v>15</v>
      </c>
      <c r="I15" t="s">
        <v>70</v>
      </c>
      <c r="J15" t="s">
        <v>162</v>
      </c>
      <c r="K15">
        <v>19</v>
      </c>
      <c r="M15" t="s">
        <v>156</v>
      </c>
      <c r="N15" t="s">
        <v>163</v>
      </c>
      <c r="O15">
        <v>13</v>
      </c>
      <c r="Q15" t="s">
        <v>158</v>
      </c>
      <c r="R15" t="s">
        <v>164</v>
      </c>
      <c r="S15">
        <v>13</v>
      </c>
    </row>
    <row r="16" spans="1:20" x14ac:dyDescent="0.35">
      <c r="A16" t="s">
        <v>151</v>
      </c>
      <c r="B16" t="s">
        <v>165</v>
      </c>
      <c r="C16">
        <v>13</v>
      </c>
      <c r="E16" t="s">
        <v>153</v>
      </c>
      <c r="F16" t="s">
        <v>166</v>
      </c>
      <c r="G16">
        <v>13</v>
      </c>
      <c r="I16" t="s">
        <v>70</v>
      </c>
      <c r="J16" t="s">
        <v>167</v>
      </c>
      <c r="K16">
        <v>14</v>
      </c>
      <c r="M16" t="s">
        <v>156</v>
      </c>
      <c r="N16" t="s">
        <v>168</v>
      </c>
      <c r="O16">
        <v>12</v>
      </c>
      <c r="Q16" t="s">
        <v>158</v>
      </c>
      <c r="R16" t="s">
        <v>169</v>
      </c>
      <c r="S16">
        <v>12</v>
      </c>
    </row>
    <row r="17" spans="1:20" x14ac:dyDescent="0.35">
      <c r="A17" t="s">
        <v>151</v>
      </c>
      <c r="B17" t="s">
        <v>170</v>
      </c>
      <c r="C17">
        <v>13</v>
      </c>
      <c r="E17" t="s">
        <v>153</v>
      </c>
      <c r="F17" t="s">
        <v>171</v>
      </c>
      <c r="G17">
        <v>12</v>
      </c>
      <c r="I17" t="s">
        <v>70</v>
      </c>
      <c r="J17" t="s">
        <v>172</v>
      </c>
      <c r="K17">
        <v>12</v>
      </c>
      <c r="M17" t="s">
        <v>156</v>
      </c>
      <c r="N17" t="s">
        <v>173</v>
      </c>
      <c r="O17">
        <v>12</v>
      </c>
      <c r="Q17" t="s">
        <v>158</v>
      </c>
      <c r="R17" t="s">
        <v>174</v>
      </c>
      <c r="S17">
        <v>10</v>
      </c>
    </row>
    <row r="18" spans="1:20" x14ac:dyDescent="0.35">
      <c r="A18" t="s">
        <v>151</v>
      </c>
      <c r="B18" t="s">
        <v>175</v>
      </c>
      <c r="C18">
        <v>9</v>
      </c>
      <c r="E18" t="s">
        <v>153</v>
      </c>
      <c r="F18" t="s">
        <v>165</v>
      </c>
      <c r="G18">
        <v>12</v>
      </c>
      <c r="I18" t="s">
        <v>70</v>
      </c>
      <c r="J18" t="s">
        <v>176</v>
      </c>
      <c r="K18">
        <v>11</v>
      </c>
      <c r="M18" t="s">
        <v>156</v>
      </c>
      <c r="N18" t="s">
        <v>177</v>
      </c>
      <c r="O18">
        <v>11</v>
      </c>
      <c r="Q18" t="s">
        <v>158</v>
      </c>
      <c r="R18" t="s">
        <v>178</v>
      </c>
      <c r="S18">
        <v>9</v>
      </c>
    </row>
    <row r="19" spans="1:20" x14ac:dyDescent="0.35">
      <c r="A19" t="s">
        <v>151</v>
      </c>
      <c r="B19" t="s">
        <v>179</v>
      </c>
      <c r="C19">
        <v>8</v>
      </c>
      <c r="E19" t="s">
        <v>153</v>
      </c>
      <c r="F19" t="s">
        <v>180</v>
      </c>
      <c r="G19">
        <v>11</v>
      </c>
      <c r="I19" t="s">
        <v>70</v>
      </c>
      <c r="J19" t="s">
        <v>181</v>
      </c>
      <c r="K19">
        <v>11</v>
      </c>
      <c r="M19" t="s">
        <v>156</v>
      </c>
      <c r="N19" t="s">
        <v>182</v>
      </c>
      <c r="O19">
        <v>11</v>
      </c>
      <c r="Q19" t="s">
        <v>158</v>
      </c>
      <c r="R19" t="s">
        <v>183</v>
      </c>
      <c r="S19">
        <v>9</v>
      </c>
    </row>
    <row r="20" spans="1:20" x14ac:dyDescent="0.35">
      <c r="A20" t="s">
        <v>151</v>
      </c>
      <c r="B20" t="s">
        <v>184</v>
      </c>
      <c r="C20">
        <v>7</v>
      </c>
      <c r="E20" t="s">
        <v>153</v>
      </c>
      <c r="F20" t="s">
        <v>185</v>
      </c>
      <c r="G20">
        <v>6</v>
      </c>
      <c r="I20" t="s">
        <v>70</v>
      </c>
      <c r="J20" t="s">
        <v>186</v>
      </c>
      <c r="K20">
        <v>10</v>
      </c>
      <c r="M20" t="s">
        <v>156</v>
      </c>
      <c r="N20" t="s">
        <v>187</v>
      </c>
      <c r="O20">
        <v>11</v>
      </c>
      <c r="Q20" t="s">
        <v>158</v>
      </c>
      <c r="R20" t="s">
        <v>188</v>
      </c>
      <c r="S20">
        <v>7</v>
      </c>
    </row>
    <row r="21" spans="1:20" x14ac:dyDescent="0.35">
      <c r="A21" t="s">
        <v>151</v>
      </c>
      <c r="B21" t="s">
        <v>189</v>
      </c>
      <c r="C21">
        <v>7</v>
      </c>
      <c r="E21" t="s">
        <v>153</v>
      </c>
      <c r="F21" t="s">
        <v>190</v>
      </c>
      <c r="G21">
        <v>6</v>
      </c>
      <c r="I21" t="s">
        <v>70</v>
      </c>
      <c r="J21" t="s">
        <v>191</v>
      </c>
      <c r="K21">
        <v>8</v>
      </c>
      <c r="M21" t="s">
        <v>156</v>
      </c>
      <c r="N21" t="s">
        <v>192</v>
      </c>
      <c r="O21">
        <v>9</v>
      </c>
      <c r="Q21" t="s">
        <v>158</v>
      </c>
      <c r="R21" t="s">
        <v>193</v>
      </c>
      <c r="S21">
        <v>7</v>
      </c>
    </row>
    <row r="22" spans="1:20" x14ac:dyDescent="0.35">
      <c r="A22" t="s">
        <v>151</v>
      </c>
      <c r="B22" t="s">
        <v>194</v>
      </c>
      <c r="C22">
        <v>6</v>
      </c>
      <c r="E22" t="s">
        <v>153</v>
      </c>
      <c r="F22" t="s">
        <v>195</v>
      </c>
      <c r="G22">
        <v>6</v>
      </c>
      <c r="I22" t="s">
        <v>70</v>
      </c>
      <c r="J22" t="s">
        <v>196</v>
      </c>
      <c r="K22">
        <v>7</v>
      </c>
      <c r="M22" t="s">
        <v>156</v>
      </c>
      <c r="N22" t="s">
        <v>197</v>
      </c>
      <c r="O22">
        <v>9</v>
      </c>
      <c r="Q22" t="s">
        <v>158</v>
      </c>
      <c r="R22" t="s">
        <v>198</v>
      </c>
      <c r="S22">
        <v>6</v>
      </c>
    </row>
    <row r="23" spans="1:20" x14ac:dyDescent="0.35">
      <c r="A23" t="s">
        <v>151</v>
      </c>
      <c r="B23" t="s">
        <v>199</v>
      </c>
      <c r="C23">
        <v>5</v>
      </c>
      <c r="E23" t="s">
        <v>153</v>
      </c>
      <c r="F23" t="s">
        <v>200</v>
      </c>
      <c r="G23">
        <v>5</v>
      </c>
      <c r="I23" t="s">
        <v>70</v>
      </c>
      <c r="J23" t="s">
        <v>201</v>
      </c>
      <c r="K23">
        <v>6</v>
      </c>
      <c r="M23" t="s">
        <v>156</v>
      </c>
      <c r="N23" t="s">
        <v>202</v>
      </c>
      <c r="O23">
        <v>8</v>
      </c>
      <c r="Q23" t="s">
        <v>158</v>
      </c>
      <c r="R23" t="s">
        <v>203</v>
      </c>
      <c r="S23">
        <v>6</v>
      </c>
    </row>
    <row r="24" spans="1:20" ht="15.5" x14ac:dyDescent="0.35">
      <c r="C24" s="16" cm="1">
        <f t="array" ref="C24">AVERAGE(LARGE(C14:C23,{1;2;3;4;5;6}))</f>
        <v>12.5</v>
      </c>
      <c r="D24">
        <f>AVERAGE(C14:C23)</f>
        <v>10</v>
      </c>
      <c r="G24" s="16" cm="1">
        <f t="array" ref="G24">AVERAGE(LARGE(G14:G23,{1;2;3;4;5;6}))</f>
        <v>17.5</v>
      </c>
      <c r="H24">
        <f>AVERAGE(G14:G23)</f>
        <v>12.8</v>
      </c>
      <c r="K24" s="16" cm="1">
        <f t="array" ref="K24">AVERAGE(LARGE(K14:K23,{1;2;3;4;5;6}))</f>
        <v>15.166666666666666</v>
      </c>
      <c r="L24">
        <f>AVERAGE(K14:K23)</f>
        <v>12.2</v>
      </c>
      <c r="O24" s="16" cm="1">
        <f t="array" ref="O24">AVERAGE(LARGE(O14:O23,{1;2;3;4;5;6}))</f>
        <v>12.333333333333334</v>
      </c>
      <c r="P24">
        <f>AVERAGE(O14:O23)</f>
        <v>11.1</v>
      </c>
      <c r="S24" s="16" cm="1">
        <f t="array" ref="S24">AVERAGE(LARGE(S14:S23,{1;2;3;4;5;6}))</f>
        <v>11.333333333333334</v>
      </c>
      <c r="T24">
        <f>AVERAGE(S14:S23)</f>
        <v>9.4</v>
      </c>
    </row>
    <row r="26" spans="1:20" x14ac:dyDescent="0.35">
      <c r="A26" t="s">
        <v>79</v>
      </c>
      <c r="B26" t="s">
        <v>204</v>
      </c>
      <c r="C26">
        <v>14</v>
      </c>
      <c r="E26" t="s">
        <v>80</v>
      </c>
      <c r="F26" t="s">
        <v>205</v>
      </c>
      <c r="G26">
        <v>19</v>
      </c>
    </row>
    <row r="27" spans="1:20" x14ac:dyDescent="0.35">
      <c r="A27" t="s">
        <v>79</v>
      </c>
      <c r="B27" t="s">
        <v>206</v>
      </c>
      <c r="C27">
        <v>13</v>
      </c>
      <c r="E27" t="s">
        <v>80</v>
      </c>
      <c r="F27" t="s">
        <v>207</v>
      </c>
      <c r="G27">
        <v>11</v>
      </c>
    </row>
    <row r="28" spans="1:20" x14ac:dyDescent="0.35">
      <c r="A28" t="s">
        <v>79</v>
      </c>
      <c r="B28" t="s">
        <v>208</v>
      </c>
      <c r="C28">
        <v>12</v>
      </c>
      <c r="E28" t="s">
        <v>80</v>
      </c>
      <c r="F28" t="s">
        <v>209</v>
      </c>
      <c r="G28">
        <v>11</v>
      </c>
    </row>
    <row r="29" spans="1:20" x14ac:dyDescent="0.35">
      <c r="A29" t="s">
        <v>79</v>
      </c>
      <c r="B29" t="s">
        <v>210</v>
      </c>
      <c r="C29">
        <v>12</v>
      </c>
      <c r="E29" t="s">
        <v>80</v>
      </c>
      <c r="F29" t="s">
        <v>211</v>
      </c>
      <c r="G29">
        <v>10</v>
      </c>
    </row>
    <row r="30" spans="1:20" x14ac:dyDescent="0.35">
      <c r="A30" t="s">
        <v>79</v>
      </c>
      <c r="B30" t="s">
        <v>212</v>
      </c>
      <c r="C30">
        <v>10</v>
      </c>
      <c r="E30" t="s">
        <v>80</v>
      </c>
      <c r="F30" t="s">
        <v>213</v>
      </c>
      <c r="G30">
        <v>10</v>
      </c>
    </row>
    <row r="31" spans="1:20" x14ac:dyDescent="0.35">
      <c r="A31" t="s">
        <v>79</v>
      </c>
      <c r="B31" t="s">
        <v>214</v>
      </c>
      <c r="C31">
        <v>10</v>
      </c>
      <c r="E31" t="s">
        <v>80</v>
      </c>
      <c r="F31" t="s">
        <v>215</v>
      </c>
      <c r="G31">
        <v>10</v>
      </c>
    </row>
    <row r="32" spans="1:20" x14ac:dyDescent="0.35">
      <c r="A32" t="s">
        <v>79</v>
      </c>
      <c r="B32" t="s">
        <v>216</v>
      </c>
      <c r="C32">
        <v>10</v>
      </c>
      <c r="E32" t="s">
        <v>80</v>
      </c>
      <c r="F32" t="s">
        <v>217</v>
      </c>
      <c r="G32">
        <v>8</v>
      </c>
    </row>
    <row r="33" spans="1:8" x14ac:dyDescent="0.35">
      <c r="A33" t="s">
        <v>79</v>
      </c>
      <c r="B33" t="s">
        <v>218</v>
      </c>
      <c r="C33">
        <v>9</v>
      </c>
      <c r="E33" t="s">
        <v>80</v>
      </c>
      <c r="F33" t="s">
        <v>219</v>
      </c>
      <c r="G33">
        <v>8</v>
      </c>
    </row>
    <row r="34" spans="1:8" x14ac:dyDescent="0.35">
      <c r="A34" t="s">
        <v>79</v>
      </c>
      <c r="B34" t="s">
        <v>220</v>
      </c>
      <c r="C34">
        <v>9</v>
      </c>
      <c r="E34" t="s">
        <v>80</v>
      </c>
      <c r="F34" t="s">
        <v>221</v>
      </c>
      <c r="G34">
        <v>7</v>
      </c>
    </row>
    <row r="35" spans="1:8" x14ac:dyDescent="0.35">
      <c r="A35" t="s">
        <v>79</v>
      </c>
      <c r="B35" t="s">
        <v>222</v>
      </c>
      <c r="C35">
        <v>6</v>
      </c>
      <c r="E35" t="s">
        <v>80</v>
      </c>
      <c r="F35" t="s">
        <v>223</v>
      </c>
      <c r="G35">
        <v>6</v>
      </c>
    </row>
    <row r="36" spans="1:8" ht="15.5" x14ac:dyDescent="0.35">
      <c r="C36" s="16" cm="1">
        <f t="array" ref="C36">AVERAGE(LARGE(C26:C35,{1;2;3;4;5;6}))</f>
        <v>11.833333333333334</v>
      </c>
      <c r="D36">
        <f>AVERAGE(C26:C35)</f>
        <v>10.5</v>
      </c>
      <c r="G36" s="16" cm="1">
        <f t="array" ref="G36">AVERAGE(LARGE(G26:G35,{1;2;3;4;5;6}))</f>
        <v>11.833333333333334</v>
      </c>
      <c r="H36">
        <f>AVERAGE(G26:G35)</f>
        <v>10</v>
      </c>
    </row>
    <row r="49" spans="1:5" x14ac:dyDescent="0.35">
      <c r="A49">
        <f>5617+12121</f>
        <v>17738</v>
      </c>
      <c r="B49">
        <f>7207+13121</f>
        <v>20328</v>
      </c>
      <c r="C49">
        <f>7684+14109</f>
        <v>21793</v>
      </c>
      <c r="D49">
        <f>7359+14456</f>
        <v>21815</v>
      </c>
      <c r="E49">
        <f>7833+14479</f>
        <v>22312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B79CFD9EF6F644CBD47F0B73559073B" ma:contentTypeVersion="15" ma:contentTypeDescription="Create a new document." ma:contentTypeScope="" ma:versionID="cffb326d51a1bccb4c1c68b459f905eb">
  <xsd:schema xmlns:xsd="http://www.w3.org/2001/XMLSchema" xmlns:xs="http://www.w3.org/2001/XMLSchema" xmlns:p="http://schemas.microsoft.com/office/2006/metadata/properties" xmlns:ns3="2a3a48df-fd5a-482e-a9d8-c269fe9c14b6" xmlns:ns4="51658deb-57f9-4180-84d3-54f6c7d5e26c" targetNamespace="http://schemas.microsoft.com/office/2006/metadata/properties" ma:root="true" ma:fieldsID="d055973664e8abfdd84d4c8ce87000ec" ns3:_="" ns4:_="">
    <xsd:import namespace="2a3a48df-fd5a-482e-a9d8-c269fe9c14b6"/>
    <xsd:import namespace="51658deb-57f9-4180-84d3-54f6c7d5e26c"/>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GenerationTime" minOccurs="0"/>
                <xsd:element ref="ns3:MediaServiceEventHashCode" minOccurs="0"/>
                <xsd:element ref="ns3:MediaLengthInSeconds" minOccurs="0"/>
                <xsd:element ref="ns3:MediaServiceDateTaken" minOccurs="0"/>
                <xsd:element ref="ns3:MediaServiceSystemTags"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3a48df-fd5a-482e-a9d8-c269fe9c14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658deb-57f9-4180-84d3-54f6c7d5e26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a3a48df-fd5a-482e-a9d8-c269fe9c14b6" xsi:nil="true"/>
  </documentManagement>
</p:properties>
</file>

<file path=customXml/itemProps1.xml><?xml version="1.0" encoding="utf-8"?>
<ds:datastoreItem xmlns:ds="http://schemas.openxmlformats.org/officeDocument/2006/customXml" ds:itemID="{551834AF-7AE2-4D8B-A202-21132F8927F7}">
  <ds:schemaRefs>
    <ds:schemaRef ds:uri="http://schemas.microsoft.com/sharepoint/v3/contenttype/forms"/>
  </ds:schemaRefs>
</ds:datastoreItem>
</file>

<file path=customXml/itemProps2.xml><?xml version="1.0" encoding="utf-8"?>
<ds:datastoreItem xmlns:ds="http://schemas.openxmlformats.org/officeDocument/2006/customXml" ds:itemID="{ACA6C40B-FDA9-4E07-A997-F5AE461A13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3a48df-fd5a-482e-a9d8-c269fe9c14b6"/>
    <ds:schemaRef ds:uri="51658deb-57f9-4180-84d3-54f6c7d5e2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1ACF822-A355-4C2A-A86A-FB30C0A7FDA3}">
  <ds:schemaRefs>
    <ds:schemaRef ds:uri="http://www.w3.org/XML/1998/namespace"/>
    <ds:schemaRef ds:uri="http://purl.org/dc/dcmitype/"/>
    <ds:schemaRef ds:uri="http://purl.org/dc/terms/"/>
    <ds:schemaRef ds:uri="51658deb-57f9-4180-84d3-54f6c7d5e26c"/>
    <ds:schemaRef ds:uri="http://schemas.microsoft.com/office/2006/documentManagement/types"/>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2a3a48df-fd5a-482e-a9d8-c269fe9c14b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PRECIO</vt:lpstr>
      <vt:lpstr>Hoja4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Dillan Alexander Cruz</dc:creator>
  <cp:keywords/>
  <dc:description/>
  <cp:lastModifiedBy>Doménica Nicole Villalva Dalgo</cp:lastModifiedBy>
  <cp:revision/>
  <dcterms:created xsi:type="dcterms:W3CDTF">2026-10-20T16:11:36Z</dcterms:created>
  <dcterms:modified xsi:type="dcterms:W3CDTF">2026-10-23T13:37:42Z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0x0101008B79CFD9EF6F644CBD47F0B73559073B</vt:lpwstr>
  </property>
</Properties>
</file>