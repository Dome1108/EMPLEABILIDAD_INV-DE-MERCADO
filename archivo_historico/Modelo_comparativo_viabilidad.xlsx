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ente_Hoja1" sheetId="1" r:id="rId1"/>
    <sheet name="Fuente_PRECIO" sheetId="2" r:id="rId2"/>
    <sheet name="Fuente_Hoja4" sheetId="3" r:id="rId3"/>
    <sheet name="Guía" sheetId="4" r:id="rId4"/>
    <sheet name="Parámetros" sheetId="5" r:id="rId5"/>
    <sheet name="Datos" sheetId="6" r:id="rId6"/>
    <sheet name="Puntajes" sheetId="7" r:id="rId7"/>
    <sheet name="Resultados" sheetId="8" r:id="rId8"/>
  </sheets>
  <definedNames>
    <definedName name="_xlnm._FilterDatabase" localSheetId="5" hidden="1">Datos!$A$1:$M$13</definedName>
    <definedName name="_xlnm._FilterDatabase" localSheetId="7" hidden="1">Resultados!$A$1:$K$13</definedName>
  </definedNames>
  <calcPr calcId="124519" fullCalcOnLoad="1"/>
</workbook>
</file>

<file path=xl/sharedStrings.xml><?xml version="1.0" encoding="utf-8"?>
<sst xmlns="http://schemas.openxmlformats.org/spreadsheetml/2006/main" count="562" uniqueCount="317">
  <si>
    <t>Variable</t>
  </si>
  <si>
    <t>Definición</t>
  </si>
  <si>
    <t>Detalle</t>
  </si>
  <si>
    <t>Negocios Internacionales</t>
  </si>
  <si>
    <t>Software</t>
  </si>
  <si>
    <t>Enfermería</t>
  </si>
  <si>
    <t>Medicina</t>
  </si>
  <si>
    <t>Odontología</t>
  </si>
  <si>
    <t>Multimedia y produccion audiovisual</t>
  </si>
  <si>
    <t>Derecho</t>
  </si>
  <si>
    <t>Arquitectura</t>
  </si>
  <si>
    <t>RRII</t>
  </si>
  <si>
    <t>Gastronomía</t>
  </si>
  <si>
    <t>Música</t>
  </si>
  <si>
    <t>Psicología</t>
  </si>
  <si>
    <t xml:space="preserve"> Matriculados</t>
  </si>
  <si>
    <t>Tasa de crecimiento promedio del número de estudiantes matriculados en el programa propuesto o en programas similares</t>
  </si>
  <si>
    <t>Tasa de crecimiento de matriculados del periodo 2020-2025</t>
  </si>
  <si>
    <t xml:space="preserve"> Titulados</t>
  </si>
  <si>
    <t>Tasa de crecimiento promedio del número de estudiantes titulados en el programa propuesto o en programas similares</t>
  </si>
  <si>
    <t>Tasa de crecimiento de titulados del periodo 2020-2025</t>
  </si>
  <si>
    <t xml:space="preserve"> Cantidad de búsquedas web</t>
  </si>
  <si>
    <t>Volumen de búsquedas en Google Trends a nivel local utilizado para medir la evolución del interés del nombre en el tiempo.</t>
  </si>
  <si>
    <t>Volumen de busquedas web en google trends sobre 100 para Ecuador</t>
  </si>
  <si>
    <t>Volumen de búsquedas en Google Trends a nivel regional utilizado para medir la evolución del interés del nombre en el tiempo.</t>
  </si>
  <si>
    <t>Promedio de volumen de busquedas web en google trends sobre 100 para Países de lationamerica</t>
  </si>
  <si>
    <t>Volumen de búsquedas en Google Trends a nivel mundial utilizado para medir la evolución del interés del nombre en el tiempo.</t>
  </si>
  <si>
    <t>Promedio de volumen de busquedas web en google trends sobre 100 para Países con datos del mundoo incluido lationamerica</t>
  </si>
  <si>
    <t xml:space="preserve"> Palabras clave</t>
  </si>
  <si>
    <t>Nivel promedio de interés de búsqueda de las palabras clave relacionadas con el programa durante los últimos 12 meses a nivel local</t>
  </si>
  <si>
    <t>Promedio de busquedas web con respecto al nombre de la carrera en ecuador durante los ultimos 12 meses</t>
  </si>
  <si>
    <t xml:space="preserve"> Calificación nombre</t>
  </si>
  <si>
    <t>Evaluación del potencial del nombre propuesto según claridad, actualidad, atractivo comercial, profesionalismo académico e internacionalización</t>
  </si>
  <si>
    <t>Calificación sobre e13,58 dada por una IA especializada que mide el atractivo del programa</t>
  </si>
  <si>
    <t xml:space="preserve"> Cantidad de profesionales</t>
  </si>
  <si>
    <t>Cantidad de profesionales en Ecuador cuyos cargos o industrias se relacionan con el campo de la carrera</t>
  </si>
  <si>
    <t>Cantidad de profesionales registrados en linkedin que responden a cargos relacionados con la carrera propuesta</t>
  </si>
  <si>
    <t xml:space="preserve"> Cantidad de vacantes</t>
  </si>
  <si>
    <t>Cantidad de vacantes disponibles en Ecuador relacionadas con los cargos o áreas profesionales vinculadas a la carrera</t>
  </si>
  <si>
    <t>Cantidad de vacantes publicadas en linkedin con relación a las carreras propuestas</t>
  </si>
  <si>
    <t xml:space="preserve"> Brecha Mercado Laboral vs Programa Educativo</t>
  </si>
  <si>
    <t>Grado de coincidencia entre las aptitudes del programa y las demandadas por el mercado laboral, identificando posibles brechas de ajuste</t>
  </si>
  <si>
    <t>Calificación sobre 100% de una IA especializada que compara las aptitudes actuales en el mercado laboral desde LinkedIn con las aptitudes propuestas por programa a fin de conocer su alineación</t>
  </si>
  <si>
    <t xml:space="preserve"> Salario Promedio</t>
  </si>
  <si>
    <t>Nivel de remuneración promedio asociado al campo laboral de la carrera, estimado a partir de fuentes públicas y de las actividades económicas vinculadas mediante códigos CIIU</t>
  </si>
  <si>
    <t>Salario promedio por CIIU identificado en la REES</t>
  </si>
  <si>
    <t xml:space="preserve"> Cantidad de oferta</t>
  </si>
  <si>
    <t>Nivel de presencia de universidades que ofertan la carrera o programas similares, contrastado con el nivel de interés del mercado</t>
  </si>
  <si>
    <t>Cantidad de universidades privadas de la sierra que ofertan la carrera</t>
  </si>
  <si>
    <t xml:space="preserve"> Precio promedio del mercado</t>
  </si>
  <si>
    <t>Nivel de precios de programas similares en el mercado, analizado mediante media para identificar rangos de referencia y su alineación con los valores de UDLA</t>
  </si>
  <si>
    <t>Brecha entre el precio de la carrera UDLA vs el promedio del mercado para cada carrera, si es positivo muestra que tan cara es la universidad respecto al mercado, si es negativo muestra que tan barata es frente al mercado</t>
  </si>
  <si>
    <t xml:space="preserve"> Sociedades y Naturales</t>
  </si>
  <si>
    <t>Valor de las ventas de bienes y servicios realizadas por personas naturalesque están sujetas a IVA.</t>
  </si>
  <si>
    <t>Acumulado de los ultimos 36 meses de ventas gravadas para personas naturales de los ciius identificados para cada carrera</t>
  </si>
  <si>
    <t>Valor de las ventas de bienes y servicios realizadas por sociedades que están sujetas a IVA.</t>
  </si>
  <si>
    <t>Acumulado de los ultimos 36 meses de ventas gravadas para sociedadess de los ciius identificados para cada carrera</t>
  </si>
  <si>
    <t>Carrera</t>
  </si>
  <si>
    <t>Precio promedio</t>
  </si>
  <si>
    <t>Mediana mercado</t>
  </si>
  <si>
    <t>Registros</t>
  </si>
  <si>
    <t>precios udla</t>
  </si>
  <si>
    <t>promedio</t>
  </si>
  <si>
    <t>mediana</t>
  </si>
  <si>
    <t>FACULTAD</t>
  </si>
  <si>
    <t>PROMEDIO</t>
  </si>
  <si>
    <t>MEDIANA</t>
  </si>
  <si>
    <t>MPROMEDIO</t>
  </si>
  <si>
    <t>MMEDIANA</t>
  </si>
  <si>
    <t>DIFERENCIA promedio</t>
  </si>
  <si>
    <t>diferencia mediana</t>
  </si>
  <si>
    <t>ARQUITECTURA</t>
  </si>
  <si>
    <t>DERECHO</t>
  </si>
  <si>
    <t>SALUD</t>
  </si>
  <si>
    <t>GASTRONOMIA</t>
  </si>
  <si>
    <t>MEDICINA</t>
  </si>
  <si>
    <t>Multimedia y Producción Audiovisual</t>
  </si>
  <si>
    <t>NODO</t>
  </si>
  <si>
    <t>MUSICA</t>
  </si>
  <si>
    <t>FACEA</t>
  </si>
  <si>
    <t>ODONTOLOGIA</t>
  </si>
  <si>
    <t>PSICOLOGIA</t>
  </si>
  <si>
    <t>Relaciones Internacionales</t>
  </si>
  <si>
    <t>CIENCIAS POL</t>
  </si>
  <si>
    <t>FICA</t>
  </si>
  <si>
    <t>udla</t>
  </si>
  <si>
    <t>https://www.udla.edu.ec/estudios/pregrado/arquitectura/</t>
  </si>
  <si>
    <t>https://www.udla.edu.ec/estudios/pregrado/derecho/</t>
  </si>
  <si>
    <t>https://www.udla.edu.ec/estudios/pregrado/enfermeria/</t>
  </si>
  <si>
    <t>https://www.udla.edu.ec/estudios/pregrado/gastronomia/</t>
  </si>
  <si>
    <t>https://www.udla.edu.ec/estudios/pregrado/medicina/</t>
  </si>
  <si>
    <t>https://www.udla.edu.ec/estudios/pregrado/multimedia-y-produccion-audiovisual/</t>
  </si>
  <si>
    <t>https://www.udla.edu.ec/estudios/pregrado/musica/</t>
  </si>
  <si>
    <t>https://www.udla.edu.ec/estudios/pregrado/negocios-internacionales/</t>
  </si>
  <si>
    <t>https://www.udla.edu.ec/estudios/pregrado/odontologia/</t>
  </si>
  <si>
    <t>https://www.udla.edu.ec/estudios/pregrado/psicologia/</t>
  </si>
  <si>
    <t>https://www.udla.edu.ec/estudios/pregrado/relaciones-internacionales/</t>
  </si>
  <si>
    <t>https://www.udla.edu.ec/estudios/pregrado/software/</t>
  </si>
  <si>
    <t>CARRERA</t>
  </si>
  <si>
    <t>PALABRA_CLAVE</t>
  </si>
  <si>
    <t>VALOR</t>
  </si>
  <si>
    <t>SOFTWARE</t>
  </si>
  <si>
    <t>Desarrollo</t>
  </si>
  <si>
    <t>Filosofía del derecho</t>
  </si>
  <si>
    <t>Farmacología</t>
  </si>
  <si>
    <t>Canto</t>
  </si>
  <si>
    <t>Chocolatería</t>
  </si>
  <si>
    <t>Redes</t>
  </si>
  <si>
    <t>Derecho Empresarial</t>
  </si>
  <si>
    <t>Semiología</t>
  </si>
  <si>
    <t>Historia de la música</t>
  </si>
  <si>
    <t>Cocina Internacional</t>
  </si>
  <si>
    <t>Desarrollo de videojuegos</t>
  </si>
  <si>
    <t>Derecho Laboral</t>
  </si>
  <si>
    <t>Tropical medicine</t>
  </si>
  <si>
    <t>Interpretación</t>
  </si>
  <si>
    <t>Dietética y nutrición</t>
  </si>
  <si>
    <t>Seguridad Informática</t>
  </si>
  <si>
    <t>Garantías Constitucionales</t>
  </si>
  <si>
    <t>Quirúrgica</t>
  </si>
  <si>
    <t>Composición</t>
  </si>
  <si>
    <t>Cárnicos</t>
  </si>
  <si>
    <t>Algoritmo</t>
  </si>
  <si>
    <t>Deontología Jurídica</t>
  </si>
  <si>
    <t>Morfofuncionales</t>
  </si>
  <si>
    <t>Instrumental</t>
  </si>
  <si>
    <t>Cocina de vanguardia</t>
  </si>
  <si>
    <t>Inteligencia Artificial</t>
  </si>
  <si>
    <t>Pluralismo Jurídico</t>
  </si>
  <si>
    <t>Pediatría</t>
  </si>
  <si>
    <t>Armonía musical</t>
  </si>
  <si>
    <t>Cocina Ecuatoriana</t>
  </si>
  <si>
    <t>Programación</t>
  </si>
  <si>
    <t>Derecho Económico</t>
  </si>
  <si>
    <t>Infectología</t>
  </si>
  <si>
    <t>Improvisación</t>
  </si>
  <si>
    <t>Pastelería</t>
  </si>
  <si>
    <t>Computación Ubicua</t>
  </si>
  <si>
    <t>Derecho Penal</t>
  </si>
  <si>
    <t>Investigaciones Clínicas</t>
  </si>
  <si>
    <t>Ensamble</t>
  </si>
  <si>
    <t>Alta cocina</t>
  </si>
  <si>
    <t>Ingeniería Web</t>
  </si>
  <si>
    <t>Sujetos del Derecho</t>
  </si>
  <si>
    <t>Medicina Legal</t>
  </si>
  <si>
    <t>Proyecto Artístico</t>
  </si>
  <si>
    <t>Panadería</t>
  </si>
  <si>
    <t>Procesador</t>
  </si>
  <si>
    <t>Teoría del delito</t>
  </si>
  <si>
    <t>Microbiología</t>
  </si>
  <si>
    <t>Producción musical</t>
  </si>
  <si>
    <t>Sanidad</t>
  </si>
  <si>
    <t>RELACIONES INTERNACIONALES</t>
  </si>
  <si>
    <t>Derechos Humanos</t>
  </si>
  <si>
    <t>NEGOCIOS INTERNACIONALES</t>
  </si>
  <si>
    <t>Contabilidad</t>
  </si>
  <si>
    <t>Maquetería</t>
  </si>
  <si>
    <t>MULTIMEDIA Y PRODUCCION AUDIOVISUAL</t>
  </si>
  <si>
    <t>Interfaces</t>
  </si>
  <si>
    <t>ENFERMERIA</t>
  </si>
  <si>
    <t>Clínica enfermería</t>
  </si>
  <si>
    <t>Políticas Públicas</t>
  </si>
  <si>
    <t>Mercados Internacionales</t>
  </si>
  <si>
    <t>Construcción</t>
  </si>
  <si>
    <t>Medios Digitales</t>
  </si>
  <si>
    <t>Enfermería en pacientes</t>
  </si>
  <si>
    <t>Negociación</t>
  </si>
  <si>
    <t>Inteligencia de negocios</t>
  </si>
  <si>
    <t>Dibujo Natural</t>
  </si>
  <si>
    <t>Diseño 3D</t>
  </si>
  <si>
    <t>Gestión de calidad</t>
  </si>
  <si>
    <t>Regionalismos</t>
  </si>
  <si>
    <t>Dirección Estratégica</t>
  </si>
  <si>
    <t>Dibujo Técnico</t>
  </si>
  <si>
    <t>Edición de video</t>
  </si>
  <si>
    <t>Salud comunitaria</t>
  </si>
  <si>
    <t>Política Mundial</t>
  </si>
  <si>
    <t>Sostenibilidad Ambiental</t>
  </si>
  <si>
    <t>Animación Digital</t>
  </si>
  <si>
    <t>Bioestadística</t>
  </si>
  <si>
    <t>Estado y constitución</t>
  </si>
  <si>
    <t>Comercio Exterior</t>
  </si>
  <si>
    <t>Urbanismo</t>
  </si>
  <si>
    <t>Dirección de Arte</t>
  </si>
  <si>
    <t>Servicios de emergencia</t>
  </si>
  <si>
    <t>Geopolítica</t>
  </si>
  <si>
    <t>Estrategia De Promoción</t>
  </si>
  <si>
    <t>Arquitectura del paisaje</t>
  </si>
  <si>
    <t>Render</t>
  </si>
  <si>
    <t>Bioética</t>
  </si>
  <si>
    <t>Organismos Internacionales</t>
  </si>
  <si>
    <t>Gestión de proyectos</t>
  </si>
  <si>
    <t>Proyectos arquitectónicos</t>
  </si>
  <si>
    <t>Producción Audiovisual</t>
  </si>
  <si>
    <t>Cuidados del adulto mayor</t>
  </si>
  <si>
    <t>Administración pública</t>
  </si>
  <si>
    <t>Inteligencia de mercados</t>
  </si>
  <si>
    <t>Taller de diseño</t>
  </si>
  <si>
    <t>Rigging</t>
  </si>
  <si>
    <t>Fisiopatología</t>
  </si>
  <si>
    <t>Economía Política</t>
  </si>
  <si>
    <t>Exportaciones e importaciones</t>
  </si>
  <si>
    <t>Diseño Arquitectonico</t>
  </si>
  <si>
    <t>Efectos especiales</t>
  </si>
  <si>
    <t>Instrumentación quirúrgica</t>
  </si>
  <si>
    <t>Estomatología</t>
  </si>
  <si>
    <t>Conciencia</t>
  </si>
  <si>
    <t>Embriología</t>
  </si>
  <si>
    <t>Psicopatología</t>
  </si>
  <si>
    <t>Odontopediatría</t>
  </si>
  <si>
    <t>Psicoterapia</t>
  </si>
  <si>
    <t>Ortodoncia</t>
  </si>
  <si>
    <t>Procesos de cambio</t>
  </si>
  <si>
    <t>Imagenología</t>
  </si>
  <si>
    <t>Psicofarmacología</t>
  </si>
  <si>
    <t>Periodoncia</t>
  </si>
  <si>
    <t>Psiquiatría</t>
  </si>
  <si>
    <t>Protesis Dental</t>
  </si>
  <si>
    <t>Psicología del consumidor</t>
  </si>
  <si>
    <t>Anatomía patológica</t>
  </si>
  <si>
    <t>Psicología educativa</t>
  </si>
  <si>
    <t>Biomateriales</t>
  </si>
  <si>
    <t>Psicología comunitaria</t>
  </si>
  <si>
    <t>Endodoncia</t>
  </si>
  <si>
    <t>Psicología de la personalidad</t>
  </si>
  <si>
    <t>Tema</t>
  </si>
  <si>
    <t>Criterio / limitación</t>
  </si>
  <si>
    <t>Alcance</t>
  </si>
  <si>
    <t>Comparativo exploratorio de 11 carreras contra Negocios Internacionales. No estima probabilidad de éxito ni viabilidad financiera de apertura.</t>
  </si>
  <si>
    <t>Referencia</t>
  </si>
  <si>
    <t>Negocios Internacionales, elegida por el usuario por desempeño satisfactorio y estable. No se asume que sea el promedio estadístico.</t>
  </si>
  <si>
    <t>Pesos</t>
  </si>
  <si>
    <t>Se conservan 30%, 22%, 28%, 12%, 8%. Competencia pasa íntegramente a oportunidad de mercado; el precio se mide una sola vez en el bloque de 12%. Pagador/capacidad de pago se excluye por falta de datos.</t>
  </si>
  <si>
    <t>Modalidad pendiente</t>
  </si>
  <si>
    <t>Recordatorio: revisar modalidad y capacidad de implementación en una fase posterior. Presencial como supuesto descriptivo; no entra al cálculo.</t>
  </si>
  <si>
    <t>Datos utilizados</t>
  </si>
  <si>
    <t>Hoja1: búsquedas locales (fila 4), sin palabras clave ni promedios regional/mundial. Brecha de precio: fila 14. Ventas: suma de filas 15 y 16.</t>
  </si>
  <si>
    <t>Precio: discrepancias</t>
  </si>
  <si>
    <t>Hoja1 y PRECIO contienen brechas distintas, especialmente Enfermería, Psicología y Multimedia. Se utiliza Hoja1 sin sustituirla con promedios de facultad. Conciliar antes de decidir.</t>
  </si>
  <si>
    <t>Google Trends: validación pendiente</t>
  </si>
  <si>
    <t>No está documentado si las carreras comparten escala de consulta o un ancla común. Los índices 0–100 se utilizan provisionalmente como comparables; todos los resultados quedan sujetos a validar esa extracción.</t>
  </si>
  <si>
    <t>Laboral: validación pendiente</t>
  </si>
  <si>
    <t>Negocios tiene 120 profesionales y 1 vacante frente a universos mucho mayores en otras carreras. Verificar equivalencia de búsquedas. Vacantes/profesionales es una señal relativa, no una tasa de empleabilidad.</t>
  </si>
  <si>
    <t>Economía</t>
  </si>
  <si>
    <t>La base contiene ventas acumuladas de 36 meses, no tasas de crecimiento. El bloque mide tamaño económico asociado, con transformación logarítmica; no crecimiento. Revisar mapeo CIIU y solapamientos.</t>
  </si>
  <si>
    <t>Normalización</t>
  </si>
  <si>
    <t>Referencia = 70 puntos por indicador. Variables positivas: MIN(100,140*x/(x+referencia)). Crecimientos: limitar a 0–100 el valor 70+50*(x-referencia), usando tasas decimales. No dividir crecimientos negativos.</t>
  </si>
  <si>
    <t>Competencia y oportunidad</t>
  </si>
  <si>
    <t>Puntaje de menor competencia: MIN(100,140*competidores_ref/(competidores+competidores_ref)). Oportunidad=MIN(puntaje_demanda,RAIZ(puntaje_demanda*puntaje_competencia)). La demanda limita el puntaje: pocos competidores no compensan bajo interés.</t>
  </si>
  <si>
    <t>Precio</t>
  </si>
  <si>
    <t>Brecha = precio institucional/media de mercado - 1, según Hoja1. Puntaje=limitar a 0–100 [70-50*(brecha-brecha_ref)]. Menor prima mejora competitividad relativa; no demuestra capacidad de pago ni rentabilidad.</t>
  </si>
  <si>
    <t>Ventas</t>
  </si>
  <si>
    <t>Puntaje=limitar a 0–100 [70+15*LN(ventas/ventas_ref)]. Compresión de escala para no dejar dominar magnitudes de sectores grandes. Parámetro de criterio, no estimado estadísticamente.</t>
  </si>
  <si>
    <t>Umbrales provisionales</t>
  </si>
  <si>
    <t>&gt;=75: superior a referencia; 65 a &lt;75: cercano a referencia; 50 a &lt;65: inferior, requiere ajustes; &lt;50: rezago importante. Son categorías comparativas, no autorización de apertura.</t>
  </si>
  <si>
    <t>Señal de oportunidad</t>
  </si>
  <si>
    <t>Demanda alta: búsquedas &gt;=1.2 veces referencia; competencia baja: &lt;=0.8 veces referencia. Prioridad condicionada a empleabilidad y precio &gt;=50. Si ambos criterios favorables no coinciden, se muestra la posición respecto a referencia.</t>
  </si>
  <si>
    <t>Doble uso de búsquedas</t>
  </si>
  <si>
    <t>Búsquedas influye directamente en demanda y también en oportunidad (28%). Es intencional para identificar demanda desatendida; revisar sensibilidad y comparabilidad antes de aprobar estos pesos.</t>
  </si>
  <si>
    <t>Validación posterior</t>
  </si>
  <si>
    <t>Todas las carreras son casos seleccionados por buen desempeño. Esta muestra no permite validar capacidad predictiva ni fijar umbrales definitivos. Añadir casos medios/bajos y resultados de aperturas.</t>
  </si>
  <si>
    <t>Edición</t>
  </si>
  <si>
    <t>Datos y Parámetros son editables. Puntajes y Resultados tienen fórmulas y valores calculados guardados. El libro se recalcula al abrir. Mantener la fila 2 de Datos como referencia.</t>
  </si>
  <si>
    <t>Parámetro</t>
  </si>
  <si>
    <t>Valor</t>
  </si>
  <si>
    <t>Demanda e interés</t>
  </si>
  <si>
    <t>Empleabilidad y valor</t>
  </si>
  <si>
    <t>Oportunidad de mercado</t>
  </si>
  <si>
    <t>Precio frente al mercado</t>
  </si>
  <si>
    <t>Tamaño del sector económico</t>
  </si>
  <si>
    <t>Demanda del nombre dentro de demanda</t>
  </si>
  <si>
    <t>Búsquedas dentro del nombre</t>
  </si>
  <si>
    <t>Matriculados dentro de demanda educativa</t>
  </si>
  <si>
    <t>Vacantes/profesionales dentro de empleabilidad</t>
  </si>
  <si>
    <t>Alineación dentro de empleabilidad</t>
  </si>
  <si>
    <t>Ancla de referencia</t>
  </si>
  <si>
    <t>Pendiente crecimientos y precio</t>
  </si>
  <si>
    <t>Sensibilidad logarítmica ventas</t>
  </si>
  <si>
    <t>Umbral superior</t>
  </si>
  <si>
    <t>Umbral cercano</t>
  </si>
  <si>
    <t>Umbral rezago</t>
  </si>
  <si>
    <t>Demanda alta / referencia</t>
  </si>
  <si>
    <t>Competencia baja / referencia</t>
  </si>
  <si>
    <t>Mínimo empleabilidad y precio para priorizar</t>
  </si>
  <si>
    <t>Suma pesos bloques</t>
  </si>
  <si>
    <t>Crecimiento matriculados</t>
  </si>
  <si>
    <t>Crecimiento titulados</t>
  </si>
  <si>
    <t>Búsquedas locales</t>
  </si>
  <si>
    <t>Calificación nombre</t>
  </si>
  <si>
    <t>Profesionales</t>
  </si>
  <si>
    <t>Vacantes</t>
  </si>
  <si>
    <t>Alineación</t>
  </si>
  <si>
    <t>Salario</t>
  </si>
  <si>
    <t>Competidores</t>
  </si>
  <si>
    <t>Brecha precio vs media</t>
  </si>
  <si>
    <t>Ventas naturales</t>
  </si>
  <si>
    <t>Ventas sociedades</t>
  </si>
  <si>
    <t>Matriculados</t>
  </si>
  <si>
    <t>Titulados</t>
  </si>
  <si>
    <t>Búsquedas</t>
  </si>
  <si>
    <t>Nombre</t>
  </si>
  <si>
    <t>Vacantes/profesionales</t>
  </si>
  <si>
    <t>Menor competencia</t>
  </si>
  <si>
    <t>Oportunidad</t>
  </si>
  <si>
    <t>Sector</t>
  </si>
  <si>
    <t>Demanda bloque</t>
  </si>
  <si>
    <t>Empleabilidad bloque</t>
  </si>
  <si>
    <t>Demanda 30%</t>
  </si>
  <si>
    <t>Empleabilidad 22%</t>
  </si>
  <si>
    <t>Oportunidad 28%</t>
  </si>
  <si>
    <t>Precio 12%</t>
  </si>
  <si>
    <t>Sector 8%</t>
  </si>
  <si>
    <t>Índice /100</t>
  </si>
  <si>
    <t>Diferencia vs referencia</t>
  </si>
  <si>
    <t>Clasificación provisional</t>
  </si>
  <si>
    <t>Estado</t>
  </si>
  <si>
    <t>Exploratorio: validar fuentes y escalas</t>
  </si>
</sst>
</file>

<file path=xl/styles.xml><?xml version="1.0" encoding="utf-8"?>
<styleSheet xmlns="http://schemas.openxmlformats.org/spreadsheetml/2006/main">
  <numFmts count="2">
    <numFmt numFmtId="164" formatCode="0.00%"/>
    <numFmt numFmtId="165" formatCode="0.0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006DB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0" xfId="0" applyFont="1" applyFill="1" applyAlignment="1">
      <alignment wrapText="1"/>
    </xf>
    <xf numFmtId="0" fontId="2" fillId="0" borderId="0" xfId="1" applyAlignment="1" applyProtection="1"/>
    <xf numFmtId="0" fontId="0" fillId="0" borderId="0" xfId="0" applyAlignment="1">
      <alignment vertical="top" wrapText="1"/>
    </xf>
    <xf numFmtId="164" fontId="0" fillId="0" borderId="0" xfId="0" applyNumberFormat="1"/>
    <xf numFmtId="165"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udla.edu.ec/estudios/pregrado/arquitectura/" TargetMode="External"/><Relationship Id="rId2" Type="http://schemas.openxmlformats.org/officeDocument/2006/relationships/hyperlink" Target="https://www.udla.edu.ec/estudios/pregrado/derecho/" TargetMode="External"/><Relationship Id="rId3" Type="http://schemas.openxmlformats.org/officeDocument/2006/relationships/hyperlink" Target="https://www.udla.edu.ec/estudios/pregrado/enfermeria/" TargetMode="External"/><Relationship Id="rId4" Type="http://schemas.openxmlformats.org/officeDocument/2006/relationships/hyperlink" Target="https://www.udla.edu.ec/estudios/pregrado/gastronomia/" TargetMode="External"/><Relationship Id="rId5" Type="http://schemas.openxmlformats.org/officeDocument/2006/relationships/hyperlink" Target="https://www.udla.edu.ec/estudios/pregrado/medicina/" TargetMode="External"/><Relationship Id="rId6" Type="http://schemas.openxmlformats.org/officeDocument/2006/relationships/hyperlink" Target="https://www.udla.edu.ec/estudios/pregrado/multimedia-y-produccion-audiovisual/" TargetMode="External"/><Relationship Id="rId7" Type="http://schemas.openxmlformats.org/officeDocument/2006/relationships/hyperlink" Target="https://www.udla.edu.ec/estudios/pregrado/musica/" TargetMode="External"/><Relationship Id="rId8" Type="http://schemas.openxmlformats.org/officeDocument/2006/relationships/hyperlink" Target="https://www.udla.edu.ec/estudios/pregrado/negocios-internacionales/" TargetMode="External"/><Relationship Id="rId9" Type="http://schemas.openxmlformats.org/officeDocument/2006/relationships/hyperlink" Target="https://www.udla.edu.ec/estudios/pregrado/odontologia/" TargetMode="External"/><Relationship Id="rId10" Type="http://schemas.openxmlformats.org/officeDocument/2006/relationships/hyperlink" Target="https://www.udla.edu.ec/estudios/pregrado/psicologia/" TargetMode="External"/><Relationship Id="rId11" Type="http://schemas.openxmlformats.org/officeDocument/2006/relationships/hyperlink" Target="https://www.udla.edu.ec/estudios/pregrado/relaciones-internacionales/" TargetMode="External"/><Relationship Id="rId12" Type="http://schemas.openxmlformats.org/officeDocument/2006/relationships/hyperlink" Target="https://www.udla.edu.ec/estudios/pregrado/software/" TargetMode="External"/></Relationships>
</file>

<file path=xl/worksheets/sheet1.xml><?xml version="1.0" encoding="utf-8"?>
<worksheet xmlns="http://schemas.openxmlformats.org/spreadsheetml/2006/main" xmlns:r="http://schemas.openxmlformats.org/officeDocument/2006/relationships">
  <dimension ref="A1:O16"/>
  <sheetViews>
    <sheetView tabSelected="1" workbookViewId="0">
      <pane xSplit="3" ySplit="1" topLeftCell="D2" activePane="bottomRight" state="frozen"/>
      <selection pane="topRight" activeCell="D1" sqref="D1"/>
      <selection pane="bottomLeft" activeCell="A2" sqref="A2"/>
      <selection pane="bottomRight"/>
    </sheetView>
  </sheetViews>
  <sheetFormatPr defaultRowHeight="15"/>
  <cols>
    <col min="1" max="3" width="30.7109375" customWidth="1"/>
    <col min="4" max="20" width="19.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v>0.384254792194357</v>
      </c>
      <c r="E2">
        <v>0.06</v>
      </c>
      <c r="F2">
        <v>0.282300799369509</v>
      </c>
      <c r="G2">
        <v>0.1251915956242503</v>
      </c>
      <c r="H2">
        <v>0.1473321383058772</v>
      </c>
      <c r="I2">
        <v>0.6607827009011822</v>
      </c>
      <c r="J2">
        <v>0.1471656888922094</v>
      </c>
      <c r="K2">
        <v>0.1227360985984467</v>
      </c>
      <c r="L2">
        <v>0.1230580223111627</v>
      </c>
      <c r="M2">
        <v>0.1765712645536539</v>
      </c>
      <c r="N2">
        <v>-0.5005745169330396</v>
      </c>
      <c r="O2">
        <v>0.1576423268848857</v>
      </c>
    </row>
    <row r="3" spans="1:15">
      <c r="A3" t="s">
        <v>18</v>
      </c>
      <c r="B3" t="s">
        <v>19</v>
      </c>
      <c r="C3" t="s">
        <v>20</v>
      </c>
      <c r="D3">
        <v>0.3149568200352171</v>
      </c>
      <c r="E3">
        <v>1.616788029348603</v>
      </c>
      <c r="F3">
        <v>0.07776227577852809</v>
      </c>
      <c r="G3">
        <v>0.03054169814198867</v>
      </c>
      <c r="H3">
        <v>0.0783057239410043</v>
      </c>
      <c r="I3">
        <v>-0.2402546959501407</v>
      </c>
      <c r="J3">
        <v>0.3061430634419498</v>
      </c>
      <c r="K3">
        <v>0.1798631096395144</v>
      </c>
      <c r="L3">
        <v>0.3334193024400443</v>
      </c>
      <c r="M3">
        <v>0.1145271169335782</v>
      </c>
      <c r="N3">
        <v>-0.3622386052765799</v>
      </c>
      <c r="O3">
        <v>0.220599466734561</v>
      </c>
    </row>
    <row r="4" spans="1:15">
      <c r="A4" t="s">
        <v>21</v>
      </c>
      <c r="B4" t="s">
        <v>22</v>
      </c>
      <c r="C4" t="s">
        <v>23</v>
      </c>
      <c r="D4">
        <v>36.71428571428572</v>
      </c>
      <c r="E4">
        <v>18.28571428571428</v>
      </c>
      <c r="F4">
        <v>81</v>
      </c>
      <c r="G4">
        <v>74.28571428571429</v>
      </c>
      <c r="H4">
        <v>74.85714285714286</v>
      </c>
      <c r="I4">
        <v>24.57142857142857</v>
      </c>
      <c r="J4">
        <v>65.14285714285714</v>
      </c>
      <c r="K4">
        <v>62.71428571428572</v>
      </c>
      <c r="L4">
        <v>14</v>
      </c>
      <c r="M4">
        <v>59.57142857142857</v>
      </c>
      <c r="N4">
        <v>40.28571428571428</v>
      </c>
      <c r="O4">
        <v>48.71428571428572</v>
      </c>
    </row>
    <row r="5" spans="1:15">
      <c r="A5" t="s">
        <v>21</v>
      </c>
      <c r="B5" t="s">
        <v>24</v>
      </c>
      <c r="C5" t="s">
        <v>25</v>
      </c>
      <c r="D5">
        <v>27.17857142857143</v>
      </c>
      <c r="E5">
        <v>15.81714285714286</v>
      </c>
      <c r="F5">
        <v>58.70428571428572</v>
      </c>
      <c r="G5">
        <v>60.36714285714286</v>
      </c>
      <c r="H5">
        <v>66.90142857142857</v>
      </c>
      <c r="I5">
        <v>21.11142857142857</v>
      </c>
      <c r="J5">
        <v>58.27571428571429</v>
      </c>
      <c r="K5">
        <v>54.28428571428572</v>
      </c>
      <c r="L5">
        <v>13.29142857142857</v>
      </c>
      <c r="M5">
        <v>41.64857142857143</v>
      </c>
      <c r="N5">
        <v>23.88142857142857</v>
      </c>
      <c r="O5">
        <v>45.64857142857143</v>
      </c>
    </row>
    <row r="6" spans="1:15">
      <c r="A6" t="s">
        <v>21</v>
      </c>
      <c r="B6" t="s">
        <v>26</v>
      </c>
      <c r="C6" t="s">
        <v>27</v>
      </c>
      <c r="D6">
        <v>23.29428571428571</v>
      </c>
      <c r="E6">
        <v>20.81285714285714</v>
      </c>
      <c r="F6">
        <v>56.13857142857142</v>
      </c>
      <c r="G6">
        <v>45.13714285714286</v>
      </c>
      <c r="H6">
        <v>56.38857142857142</v>
      </c>
      <c r="I6">
        <v>19.67857142857143</v>
      </c>
      <c r="J6">
        <v>54.92571428571429</v>
      </c>
      <c r="K6">
        <v>43.28571428571428</v>
      </c>
      <c r="L6">
        <v>22.12571428571428</v>
      </c>
      <c r="M6">
        <v>37.87142857142857</v>
      </c>
      <c r="N6">
        <v>24.67</v>
      </c>
      <c r="O6">
        <v>43.90571428571428</v>
      </c>
    </row>
    <row r="7" spans="1:15">
      <c r="A7" t="s">
        <v>28</v>
      </c>
      <c r="B7" t="s">
        <v>29</v>
      </c>
      <c r="C7" t="s">
        <v>30</v>
      </c>
      <c r="D7">
        <v>17.5</v>
      </c>
      <c r="E7">
        <v>23.83333333333333</v>
      </c>
      <c r="F7">
        <v>11.33333333333333</v>
      </c>
      <c r="G7">
        <v>10.33333333333333</v>
      </c>
      <c r="H7">
        <v>11.83333333333333</v>
      </c>
      <c r="I7">
        <v>12.33333333333333</v>
      </c>
      <c r="J7">
        <v>10</v>
      </c>
      <c r="K7">
        <v>15.16666666666667</v>
      </c>
      <c r="L7">
        <v>12.5</v>
      </c>
      <c r="M7">
        <v>10.5</v>
      </c>
      <c r="N7">
        <v>16.66666666666667</v>
      </c>
      <c r="O7">
        <v>11.83333333333333</v>
      </c>
    </row>
    <row r="8" spans="1:15">
      <c r="A8" t="s">
        <v>31</v>
      </c>
      <c r="B8" t="s">
        <v>32</v>
      </c>
      <c r="C8" t="s">
        <v>33</v>
      </c>
      <c r="D8">
        <v>12.804</v>
      </c>
      <c r="E8">
        <v>12.804</v>
      </c>
      <c r="F8">
        <v>12.028</v>
      </c>
      <c r="G8">
        <v>11.64</v>
      </c>
      <c r="H8">
        <v>11.64</v>
      </c>
      <c r="I8">
        <v>12.416</v>
      </c>
      <c r="J8">
        <v>11.64</v>
      </c>
      <c r="K8">
        <v>12.028</v>
      </c>
      <c r="L8">
        <v>12.804</v>
      </c>
      <c r="M8">
        <v>11.64</v>
      </c>
      <c r="N8">
        <v>12.416</v>
      </c>
      <c r="O8">
        <v>12.028</v>
      </c>
    </row>
    <row r="9" spans="1:15">
      <c r="A9" t="s">
        <v>34</v>
      </c>
      <c r="B9" t="s">
        <v>35</v>
      </c>
      <c r="C9" t="s">
        <v>36</v>
      </c>
      <c r="D9">
        <v>120</v>
      </c>
      <c r="E9">
        <v>21054</v>
      </c>
      <c r="F9">
        <v>30236</v>
      </c>
      <c r="G9">
        <v>24343</v>
      </c>
      <c r="H9">
        <v>10430</v>
      </c>
      <c r="I9">
        <v>8651</v>
      </c>
      <c r="J9">
        <v>30280</v>
      </c>
      <c r="K9">
        <v>10806</v>
      </c>
      <c r="L9">
        <v>126</v>
      </c>
      <c r="M9">
        <v>11671</v>
      </c>
      <c r="N9">
        <v>3730</v>
      </c>
      <c r="O9">
        <v>14080</v>
      </c>
    </row>
    <row r="10" spans="1:15">
      <c r="A10" t="s">
        <v>37</v>
      </c>
      <c r="B10" t="s">
        <v>38</v>
      </c>
      <c r="C10" t="s">
        <v>39</v>
      </c>
      <c r="D10">
        <v>1</v>
      </c>
      <c r="E10">
        <v>194</v>
      </c>
      <c r="F10">
        <v>12</v>
      </c>
      <c r="G10">
        <v>21</v>
      </c>
      <c r="H10">
        <v>7</v>
      </c>
      <c r="I10">
        <v>9</v>
      </c>
      <c r="J10">
        <v>9</v>
      </c>
      <c r="K10">
        <v>10</v>
      </c>
      <c r="L10">
        <v>1</v>
      </c>
      <c r="M10">
        <v>11</v>
      </c>
      <c r="N10">
        <v>1</v>
      </c>
      <c r="O10">
        <v>6</v>
      </c>
    </row>
    <row r="11" spans="1:15">
      <c r="A11" t="s">
        <v>40</v>
      </c>
      <c r="B11" t="s">
        <v>41</v>
      </c>
      <c r="C11" t="s">
        <v>42</v>
      </c>
      <c r="D11">
        <v>0.95</v>
      </c>
      <c r="E11">
        <v>0.7</v>
      </c>
      <c r="F11">
        <v>0.97</v>
      </c>
      <c r="G11">
        <v>0.95</v>
      </c>
      <c r="H11">
        <v>0.9</v>
      </c>
      <c r="I11">
        <v>0.85</v>
      </c>
      <c r="J11">
        <v>0.97</v>
      </c>
      <c r="K11">
        <v>0.82</v>
      </c>
      <c r="L11">
        <v>0.97</v>
      </c>
      <c r="M11">
        <v>0.9</v>
      </c>
      <c r="N11">
        <v>0.85</v>
      </c>
      <c r="O11">
        <v>0.85</v>
      </c>
    </row>
    <row r="12" spans="1:15">
      <c r="A12" t="s">
        <v>43</v>
      </c>
      <c r="B12" t="s">
        <v>44</v>
      </c>
      <c r="C12" t="s">
        <v>45</v>
      </c>
      <c r="D12">
        <v>982.17</v>
      </c>
      <c r="E12">
        <v>1276.95</v>
      </c>
      <c r="F12">
        <v>739.35</v>
      </c>
      <c r="G12">
        <v>1135.43</v>
      </c>
      <c r="H12">
        <v>1135.43</v>
      </c>
      <c r="I12">
        <v>784</v>
      </c>
      <c r="J12">
        <v>721.87</v>
      </c>
      <c r="K12">
        <v>804.64</v>
      </c>
      <c r="L12">
        <v>1516.06</v>
      </c>
      <c r="M12">
        <v>577.89</v>
      </c>
      <c r="N12">
        <v>855.11</v>
      </c>
      <c r="O12">
        <v>727.66</v>
      </c>
    </row>
    <row r="13" spans="1:15">
      <c r="A13" t="s">
        <v>46</v>
      </c>
      <c r="B13" t="s">
        <v>47</v>
      </c>
      <c r="C13" t="s">
        <v>48</v>
      </c>
      <c r="D13">
        <v>10</v>
      </c>
      <c r="E13">
        <v>9</v>
      </c>
      <c r="F13">
        <v>10</v>
      </c>
      <c r="G13">
        <v>14</v>
      </c>
      <c r="H13">
        <v>12</v>
      </c>
      <c r="I13">
        <v>5</v>
      </c>
      <c r="J13">
        <v>15</v>
      </c>
      <c r="K13">
        <v>11</v>
      </c>
      <c r="L13">
        <v>6</v>
      </c>
      <c r="M13">
        <v>10</v>
      </c>
      <c r="N13">
        <v>4</v>
      </c>
      <c r="O13">
        <v>13</v>
      </c>
    </row>
    <row r="14" spans="1:15">
      <c r="A14" t="s">
        <v>49</v>
      </c>
      <c r="B14" t="s">
        <v>50</v>
      </c>
      <c r="C14" t="s">
        <v>51</v>
      </c>
      <c r="D14">
        <v>0.02044390812542818</v>
      </c>
      <c r="E14">
        <v>1.002998462652623</v>
      </c>
      <c r="F14">
        <v>-0.1901142591546093</v>
      </c>
      <c r="G14">
        <v>0.2234990958179361</v>
      </c>
      <c r="H14">
        <v>0.06702174196667698</v>
      </c>
      <c r="I14">
        <v>0.5572853585182966</v>
      </c>
      <c r="J14">
        <v>0.4976143192427718</v>
      </c>
      <c r="K14">
        <v>0.02970592540084782</v>
      </c>
      <c r="L14">
        <v>0.04311976047904187</v>
      </c>
      <c r="M14">
        <v>0.5670169858342078</v>
      </c>
      <c r="N14">
        <v>-0.2152230971128609</v>
      </c>
      <c r="O14">
        <v>0.2192997850217175</v>
      </c>
    </row>
    <row r="15" spans="1:15">
      <c r="A15" t="s">
        <v>52</v>
      </c>
      <c r="B15" t="s">
        <v>53</v>
      </c>
      <c r="C15" t="s">
        <v>54</v>
      </c>
      <c r="D15">
        <v>164020230.83</v>
      </c>
      <c r="E15">
        <v>26808346.17</v>
      </c>
      <c r="F15">
        <v>70437974.47</v>
      </c>
      <c r="G15">
        <v>37942681.37</v>
      </c>
      <c r="H15">
        <v>9011008.109999999</v>
      </c>
      <c r="I15">
        <v>7501947.4</v>
      </c>
      <c r="J15">
        <v>2247789485.76</v>
      </c>
      <c r="K15">
        <v>349831037.32</v>
      </c>
      <c r="L15">
        <v>99187.44</v>
      </c>
      <c r="M15">
        <v>105108884.09</v>
      </c>
      <c r="N15">
        <v>1036966.97</v>
      </c>
      <c r="O15">
        <v>598808.41</v>
      </c>
    </row>
    <row r="16" spans="1:15">
      <c r="A16" t="s">
        <v>52</v>
      </c>
      <c r="B16" t="s">
        <v>55</v>
      </c>
      <c r="C16" t="s">
        <v>56</v>
      </c>
      <c r="D16">
        <v>742189478.6900001</v>
      </c>
      <c r="E16">
        <v>432254810.49</v>
      </c>
      <c r="F16">
        <v>270953661.74</v>
      </c>
      <c r="G16">
        <v>96188193.92</v>
      </c>
      <c r="H16">
        <v>2497795.87</v>
      </c>
      <c r="I16">
        <v>26815816.46</v>
      </c>
      <c r="J16">
        <v>2529697202.45</v>
      </c>
      <c r="K16">
        <v>1030132005.7</v>
      </c>
      <c r="L16">
        <v>360282.75</v>
      </c>
      <c r="M16">
        <v>283505256.86</v>
      </c>
      <c r="N16">
        <v>269825.34</v>
      </c>
      <c r="O16">
        <v>94330062.3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2"/>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3" width="30.7109375" customWidth="1"/>
    <col min="4" max="20" width="19.7109375" customWidth="1"/>
  </cols>
  <sheetData>
    <row r="1" spans="1:19">
      <c r="A1" s="1" t="s">
        <v>57</v>
      </c>
      <c r="B1" s="1" t="s">
        <v>58</v>
      </c>
      <c r="C1" s="1" t="s">
        <v>59</v>
      </c>
      <c r="D1" s="1" t="s">
        <v>60</v>
      </c>
      <c r="G1" s="1" t="s">
        <v>61</v>
      </c>
      <c r="H1" s="1" t="s">
        <v>62</v>
      </c>
      <c r="I1" s="1" t="s">
        <v>63</v>
      </c>
      <c r="L1" s="1" t="s">
        <v>64</v>
      </c>
      <c r="M1" s="1" t="s">
        <v>65</v>
      </c>
      <c r="N1" s="1" t="s">
        <v>66</v>
      </c>
      <c r="O1" s="1" t="s">
        <v>67</v>
      </c>
      <c r="P1" s="1" t="s">
        <v>68</v>
      </c>
      <c r="Q1" s="1" t="s">
        <v>69</v>
      </c>
      <c r="R1" s="1" t="s">
        <v>70</v>
      </c>
      <c r="S1" s="1" t="s">
        <v>64</v>
      </c>
    </row>
    <row r="2" spans="1:19">
      <c r="A2" t="s">
        <v>10</v>
      </c>
      <c r="B2">
        <v>3484.49</v>
      </c>
      <c r="C2">
        <v>2945.58</v>
      </c>
      <c r="D2">
        <v>13</v>
      </c>
      <c r="G2" t="s">
        <v>71</v>
      </c>
      <c r="H2">
        <v>3673.32</v>
      </c>
      <c r="I2">
        <v>3715.98</v>
      </c>
      <c r="L2" t="s">
        <v>71</v>
      </c>
      <c r="M2">
        <v>3673.32</v>
      </c>
      <c r="N2">
        <v>3715.98</v>
      </c>
      <c r="O2">
        <v>3484.49</v>
      </c>
      <c r="P2">
        <v>2945.58</v>
      </c>
      <c r="Q2">
        <v>0.05419157466372426</v>
      </c>
      <c r="R2">
        <v>0.2615444157008129</v>
      </c>
      <c r="S2" t="s">
        <v>71</v>
      </c>
    </row>
    <row r="3" spans="1:19">
      <c r="A3" t="s">
        <v>9</v>
      </c>
      <c r="B3">
        <v>2326.38</v>
      </c>
      <c r="C3">
        <v>1709.5</v>
      </c>
      <c r="D3">
        <v>20</v>
      </c>
      <c r="G3" t="s">
        <v>72</v>
      </c>
      <c r="H3">
        <v>3484.02</v>
      </c>
      <c r="I3">
        <v>3484.02</v>
      </c>
      <c r="L3" t="s">
        <v>72</v>
      </c>
      <c r="M3">
        <v>3484.02</v>
      </c>
      <c r="N3">
        <v>3484.02</v>
      </c>
      <c r="O3">
        <v>2326.38</v>
      </c>
      <c r="P3">
        <v>1709.5</v>
      </c>
      <c r="Q3">
        <v>0.4976143192427718</v>
      </c>
      <c r="R3">
        <v>1.038034513015501</v>
      </c>
      <c r="S3" t="s">
        <v>72</v>
      </c>
    </row>
    <row r="4" spans="1:19">
      <c r="A4" t="s">
        <v>5</v>
      </c>
      <c r="B4">
        <v>2990.57</v>
      </c>
      <c r="C4">
        <v>2661.5</v>
      </c>
      <c r="D4">
        <v>8</v>
      </c>
      <c r="G4" t="s">
        <v>73</v>
      </c>
      <c r="H4">
        <v>3067.66</v>
      </c>
      <c r="I4">
        <v>3064.98</v>
      </c>
      <c r="L4" t="s">
        <v>73</v>
      </c>
      <c r="M4">
        <v>3067.66</v>
      </c>
      <c r="N4">
        <v>3064.98</v>
      </c>
      <c r="O4">
        <v>2990.57</v>
      </c>
      <c r="P4">
        <v>2661.5</v>
      </c>
      <c r="Q4">
        <v>0.02577769455321222</v>
      </c>
      <c r="R4">
        <v>0.151598722524892</v>
      </c>
      <c r="S4" t="s">
        <v>73</v>
      </c>
    </row>
    <row r="5" spans="1:19">
      <c r="A5" t="s">
        <v>12</v>
      </c>
      <c r="B5">
        <v>2439.68</v>
      </c>
      <c r="C5">
        <v>1672</v>
      </c>
      <c r="D5">
        <v>11</v>
      </c>
      <c r="G5" t="s">
        <v>74</v>
      </c>
      <c r="H5">
        <v>3823.02</v>
      </c>
      <c r="I5">
        <v>3823.02</v>
      </c>
      <c r="L5" t="s">
        <v>74</v>
      </c>
      <c r="M5">
        <v>3823.02</v>
      </c>
      <c r="N5">
        <v>3823.02</v>
      </c>
      <c r="O5">
        <v>2439.68</v>
      </c>
      <c r="P5">
        <v>1672</v>
      </c>
      <c r="Q5">
        <v>0.5670169858342078</v>
      </c>
      <c r="R5">
        <v>1.286495215311005</v>
      </c>
      <c r="S5" t="s">
        <v>74</v>
      </c>
    </row>
    <row r="6" spans="1:19">
      <c r="A6" t="s">
        <v>6</v>
      </c>
      <c r="B6">
        <v>3942.79</v>
      </c>
      <c r="C6">
        <v>3225</v>
      </c>
      <c r="D6">
        <v>11</v>
      </c>
      <c r="G6" t="s">
        <v>75</v>
      </c>
      <c r="H6">
        <v>4824</v>
      </c>
      <c r="I6">
        <v>4824</v>
      </c>
      <c r="L6" t="s">
        <v>75</v>
      </c>
      <c r="M6">
        <v>4824</v>
      </c>
      <c r="N6">
        <v>4824</v>
      </c>
      <c r="O6">
        <v>3942.79</v>
      </c>
      <c r="P6">
        <v>3225</v>
      </c>
      <c r="Q6">
        <v>0.2234990958179361</v>
      </c>
      <c r="R6">
        <v>0.4958139534883721</v>
      </c>
      <c r="S6" t="s">
        <v>75</v>
      </c>
    </row>
    <row r="7" spans="1:19">
      <c r="A7" t="s">
        <v>76</v>
      </c>
      <c r="B7">
        <v>2204.49</v>
      </c>
      <c r="C7">
        <v>1953.82</v>
      </c>
      <c r="D7">
        <v>5</v>
      </c>
      <c r="G7" t="s">
        <v>77</v>
      </c>
      <c r="H7">
        <v>3527.11</v>
      </c>
      <c r="I7">
        <v>3484.02</v>
      </c>
      <c r="L7" t="s">
        <v>77</v>
      </c>
      <c r="M7">
        <v>3527.11</v>
      </c>
      <c r="N7">
        <v>3484.02</v>
      </c>
      <c r="O7">
        <v>2204.49</v>
      </c>
      <c r="P7">
        <v>1953.82</v>
      </c>
      <c r="Q7">
        <v>0.5999664321453038</v>
      </c>
      <c r="R7">
        <v>0.7831837119079545</v>
      </c>
      <c r="S7" t="s">
        <v>77</v>
      </c>
    </row>
    <row r="8" spans="1:19">
      <c r="A8" t="s">
        <v>13</v>
      </c>
      <c r="B8">
        <v>4572</v>
      </c>
      <c r="C8">
        <v>4345</v>
      </c>
      <c r="D8">
        <v>3</v>
      </c>
      <c r="G8" t="s">
        <v>78</v>
      </c>
      <c r="H8">
        <v>3588</v>
      </c>
      <c r="I8">
        <v>3588</v>
      </c>
      <c r="L8" t="s">
        <v>78</v>
      </c>
      <c r="M8">
        <v>3588</v>
      </c>
      <c r="N8">
        <v>3588</v>
      </c>
      <c r="O8">
        <v>4572</v>
      </c>
      <c r="P8">
        <v>4345</v>
      </c>
      <c r="Q8">
        <v>-0.2152230971128609</v>
      </c>
      <c r="R8">
        <v>-0.1742232451093211</v>
      </c>
      <c r="S8" t="s">
        <v>78</v>
      </c>
    </row>
    <row r="9" spans="1:19">
      <c r="A9" t="s">
        <v>3</v>
      </c>
      <c r="B9">
        <v>3414.22</v>
      </c>
      <c r="C9">
        <v>3828</v>
      </c>
      <c r="D9">
        <v>9</v>
      </c>
      <c r="G9" t="s">
        <v>79</v>
      </c>
      <c r="H9">
        <v>3487.518</v>
      </c>
      <c r="I9">
        <v>3484.02</v>
      </c>
      <c r="L9" t="s">
        <v>79</v>
      </c>
      <c r="M9">
        <v>3487.518</v>
      </c>
      <c r="N9">
        <v>3484.02</v>
      </c>
      <c r="O9">
        <v>3414.22</v>
      </c>
      <c r="P9">
        <v>3828</v>
      </c>
      <c r="Q9">
        <v>0.02146844667303216</v>
      </c>
      <c r="R9">
        <v>-0.08985893416927904</v>
      </c>
      <c r="S9" t="s">
        <v>79</v>
      </c>
    </row>
    <row r="10" spans="1:19">
      <c r="A10" t="s">
        <v>7</v>
      </c>
      <c r="B10">
        <v>3909.03</v>
      </c>
      <c r="C10">
        <v>3766.5</v>
      </c>
      <c r="D10">
        <v>10</v>
      </c>
      <c r="G10" t="s">
        <v>80</v>
      </c>
      <c r="H10">
        <v>4171.02</v>
      </c>
      <c r="I10">
        <v>4171.02</v>
      </c>
      <c r="L10" t="s">
        <v>80</v>
      </c>
      <c r="M10">
        <v>4171.02</v>
      </c>
      <c r="N10">
        <v>4171.02</v>
      </c>
      <c r="O10">
        <v>3909.03</v>
      </c>
      <c r="P10">
        <v>3766.5</v>
      </c>
      <c r="Q10">
        <v>0.06702174196667698</v>
      </c>
      <c r="R10">
        <v>0.1073994424532059</v>
      </c>
      <c r="S10" t="s">
        <v>80</v>
      </c>
    </row>
    <row r="11" spans="1:19">
      <c r="A11" t="s">
        <v>14</v>
      </c>
      <c r="B11">
        <v>2735.16</v>
      </c>
      <c r="C11">
        <v>2164.16</v>
      </c>
      <c r="D11">
        <v>23</v>
      </c>
      <c r="G11" t="s">
        <v>81</v>
      </c>
      <c r="H11">
        <v>2808.986666666667</v>
      </c>
      <c r="I11">
        <v>3334.98</v>
      </c>
      <c r="L11" t="s">
        <v>81</v>
      </c>
      <c r="M11">
        <v>2808.986666666667</v>
      </c>
      <c r="N11">
        <v>3334.98</v>
      </c>
      <c r="O11">
        <v>2735.16</v>
      </c>
      <c r="P11">
        <v>2164.16</v>
      </c>
      <c r="Q11">
        <v>0.02699171773010245</v>
      </c>
      <c r="R11">
        <v>0.5410043619695404</v>
      </c>
      <c r="S11" t="s">
        <v>81</v>
      </c>
    </row>
    <row r="12" spans="1:19">
      <c r="A12" t="s">
        <v>82</v>
      </c>
      <c r="B12">
        <v>3340</v>
      </c>
      <c r="C12">
        <v>4175</v>
      </c>
      <c r="D12">
        <v>5</v>
      </c>
      <c r="G12" t="s">
        <v>83</v>
      </c>
      <c r="H12">
        <v>3480</v>
      </c>
      <c r="I12">
        <v>3480</v>
      </c>
      <c r="L12" t="s">
        <v>83</v>
      </c>
      <c r="M12">
        <v>3480</v>
      </c>
      <c r="N12">
        <v>3480</v>
      </c>
      <c r="O12">
        <v>3340</v>
      </c>
      <c r="P12">
        <v>4175</v>
      </c>
      <c r="Q12">
        <v>0.04191616766467066</v>
      </c>
      <c r="R12">
        <v>-0.1664670658682634</v>
      </c>
      <c r="S12" t="s">
        <v>83</v>
      </c>
    </row>
    <row r="13" spans="1:19">
      <c r="A13" t="s">
        <v>4</v>
      </c>
      <c r="B13">
        <v>1574.14</v>
      </c>
      <c r="C13">
        <v>1650</v>
      </c>
      <c r="D13">
        <v>9</v>
      </c>
      <c r="G13" t="s">
        <v>84</v>
      </c>
      <c r="H13">
        <v>3360.604615384615</v>
      </c>
      <c r="I13">
        <v>3484.02</v>
      </c>
      <c r="L13" t="s">
        <v>84</v>
      </c>
      <c r="M13">
        <v>3360.604615384615</v>
      </c>
      <c r="N13">
        <v>3484.02</v>
      </c>
      <c r="O13">
        <v>1684.35</v>
      </c>
      <c r="P13">
        <v>1520</v>
      </c>
      <c r="Q13">
        <v>0.9951937634010839</v>
      </c>
      <c r="R13">
        <v>1.292118421052631</v>
      </c>
      <c r="S13" t="s">
        <v>84</v>
      </c>
    </row>
    <row r="14" spans="1:19">
      <c r="C14" t="s">
        <v>85</v>
      </c>
      <c r="D14" t="s">
        <v>62</v>
      </c>
    </row>
    <row r="15" spans="1:19">
      <c r="A15" t="s">
        <v>10</v>
      </c>
      <c r="B15">
        <v>598</v>
      </c>
      <c r="C15">
        <v>3588</v>
      </c>
      <c r="D15">
        <v>3484.49</v>
      </c>
      <c r="E15">
        <v>0.02970592540084782</v>
      </c>
      <c r="F15" t="s">
        <v>10</v>
      </c>
    </row>
    <row r="16" spans="1:19">
      <c r="A16" t="s">
        <v>9</v>
      </c>
      <c r="B16">
        <v>580.67</v>
      </c>
      <c r="C16">
        <v>3484.02</v>
      </c>
      <c r="D16">
        <v>2326.38</v>
      </c>
      <c r="E16">
        <v>0.4976143192427718</v>
      </c>
      <c r="F16" t="s">
        <v>9</v>
      </c>
    </row>
    <row r="17" spans="1:6">
      <c r="A17" t="s">
        <v>5</v>
      </c>
      <c r="B17">
        <v>403.67</v>
      </c>
      <c r="C17">
        <v>2422.02</v>
      </c>
      <c r="D17">
        <v>2990.57</v>
      </c>
      <c r="E17">
        <v>-0.1901142591546093</v>
      </c>
      <c r="F17" t="s">
        <v>5</v>
      </c>
    </row>
    <row r="18" spans="1:6">
      <c r="A18" t="s">
        <v>12</v>
      </c>
      <c r="B18">
        <v>637.17</v>
      </c>
      <c r="C18">
        <v>3823.02</v>
      </c>
      <c r="D18">
        <v>2439.68</v>
      </c>
      <c r="E18">
        <v>0.5670169858342078</v>
      </c>
      <c r="F18" t="s">
        <v>12</v>
      </c>
    </row>
    <row r="19" spans="1:6">
      <c r="A19" t="s">
        <v>6</v>
      </c>
      <c r="B19">
        <v>804</v>
      </c>
      <c r="C19">
        <v>4824</v>
      </c>
      <c r="D19">
        <v>3942.79</v>
      </c>
      <c r="E19">
        <v>0.2234990958179361</v>
      </c>
      <c r="F19" t="s">
        <v>6</v>
      </c>
    </row>
    <row r="20" spans="1:6">
      <c r="A20" t="s">
        <v>76</v>
      </c>
      <c r="B20">
        <v>572.17</v>
      </c>
      <c r="C20">
        <v>3433.02</v>
      </c>
      <c r="D20">
        <v>2204.49</v>
      </c>
      <c r="E20">
        <v>0.5572853585182966</v>
      </c>
      <c r="F20" t="s">
        <v>76</v>
      </c>
    </row>
    <row r="21" spans="1:6">
      <c r="A21" t="s">
        <v>13</v>
      </c>
      <c r="B21">
        <v>598</v>
      </c>
      <c r="C21">
        <v>3588</v>
      </c>
      <c r="D21">
        <v>4572</v>
      </c>
      <c r="E21">
        <v>-0.2152230971128609</v>
      </c>
      <c r="F21" t="s">
        <v>13</v>
      </c>
    </row>
    <row r="22" spans="1:6">
      <c r="A22" t="s">
        <v>3</v>
      </c>
      <c r="B22">
        <v>580.67</v>
      </c>
      <c r="C22">
        <v>3484.02</v>
      </c>
      <c r="D22">
        <v>3414.22</v>
      </c>
      <c r="E22">
        <v>0.02044390812542818</v>
      </c>
      <c r="F22" t="s">
        <v>3</v>
      </c>
    </row>
    <row r="23" spans="1:6">
      <c r="A23" t="s">
        <v>7</v>
      </c>
      <c r="B23">
        <v>695.17</v>
      </c>
      <c r="C23">
        <v>4171.02</v>
      </c>
      <c r="D23">
        <v>3909.03</v>
      </c>
      <c r="E23">
        <v>0.06702174196667698</v>
      </c>
      <c r="F23" t="s">
        <v>7</v>
      </c>
    </row>
    <row r="24" spans="1:6">
      <c r="A24" t="s">
        <v>14</v>
      </c>
      <c r="B24">
        <v>555.83</v>
      </c>
      <c r="C24">
        <v>3334.98</v>
      </c>
      <c r="D24">
        <v>2735.16</v>
      </c>
      <c r="E24">
        <v>0.2192997850217175</v>
      </c>
      <c r="F24" t="s">
        <v>14</v>
      </c>
    </row>
    <row r="25" spans="1:6">
      <c r="A25" t="s">
        <v>82</v>
      </c>
      <c r="B25">
        <v>580.67</v>
      </c>
      <c r="C25">
        <v>3484.02</v>
      </c>
      <c r="D25">
        <v>3340</v>
      </c>
      <c r="E25">
        <v>0.04311976047904187</v>
      </c>
      <c r="F25" t="s">
        <v>82</v>
      </c>
    </row>
    <row r="26" spans="1:6">
      <c r="A26" t="s">
        <v>4</v>
      </c>
      <c r="B26">
        <v>525.5</v>
      </c>
      <c r="C26">
        <v>3153</v>
      </c>
      <c r="D26">
        <v>1574.14</v>
      </c>
      <c r="E26">
        <v>1.002998462652623</v>
      </c>
      <c r="F26" t="s">
        <v>4</v>
      </c>
    </row>
    <row r="31" spans="1:6">
      <c r="A31" t="s">
        <v>10</v>
      </c>
      <c r="B31" s="2" t="s">
        <v>86</v>
      </c>
    </row>
    <row r="32" spans="1:6">
      <c r="A32" t="s">
        <v>9</v>
      </c>
      <c r="B32" s="2" t="s">
        <v>87</v>
      </c>
    </row>
    <row r="33" spans="1:2">
      <c r="A33" t="s">
        <v>5</v>
      </c>
      <c r="B33" s="2" t="s">
        <v>88</v>
      </c>
    </row>
    <row r="34" spans="1:2">
      <c r="A34" t="s">
        <v>12</v>
      </c>
      <c r="B34" s="2" t="s">
        <v>89</v>
      </c>
    </row>
    <row r="35" spans="1:2">
      <c r="A35" t="s">
        <v>6</v>
      </c>
      <c r="B35" s="2" t="s">
        <v>90</v>
      </c>
    </row>
    <row r="36" spans="1:2">
      <c r="A36" t="s">
        <v>76</v>
      </c>
      <c r="B36" s="2" t="s">
        <v>91</v>
      </c>
    </row>
    <row r="37" spans="1:2">
      <c r="A37" t="s">
        <v>13</v>
      </c>
      <c r="B37" s="2" t="s">
        <v>92</v>
      </c>
    </row>
    <row r="38" spans="1:2">
      <c r="A38" t="s">
        <v>3</v>
      </c>
      <c r="B38" s="2" t="s">
        <v>93</v>
      </c>
    </row>
    <row r="39" spans="1:2">
      <c r="A39" t="s">
        <v>7</v>
      </c>
      <c r="B39" s="2" t="s">
        <v>94</v>
      </c>
    </row>
    <row r="40" spans="1:2">
      <c r="A40" t="s">
        <v>14</v>
      </c>
      <c r="B40" s="2" t="s">
        <v>95</v>
      </c>
    </row>
    <row r="41" spans="1:2">
      <c r="A41" t="s">
        <v>82</v>
      </c>
      <c r="B41" s="2" t="s">
        <v>96</v>
      </c>
    </row>
    <row r="42" spans="1:2">
      <c r="A42" t="s">
        <v>4</v>
      </c>
      <c r="B42" s="2" t="s">
        <v>97</v>
      </c>
    </row>
  </sheetData>
  <hyperlinks>
    <hyperlink ref="B31" r:id="rId1"/>
    <hyperlink ref="B32" r:id="rId2"/>
    <hyperlink ref="B33" r:id="rId3"/>
    <hyperlink ref="B34" r:id="rId4"/>
    <hyperlink ref="B35" r:id="rId5"/>
    <hyperlink ref="B36" r:id="rId6"/>
    <hyperlink ref="B37" r:id="rId7"/>
    <hyperlink ref="B38" r:id="rId8"/>
    <hyperlink ref="B39" r:id="rId9"/>
    <hyperlink ref="B40" r:id="rId10"/>
    <hyperlink ref="B41" r:id="rId11"/>
    <hyperlink ref="B42"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49"/>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3" width="30.7109375" customWidth="1"/>
    <col min="4" max="20" width="19.7109375" customWidth="1"/>
  </cols>
  <sheetData>
    <row r="1" spans="1:20">
      <c r="A1" s="1" t="s">
        <v>98</v>
      </c>
      <c r="B1" s="1" t="s">
        <v>99</v>
      </c>
      <c r="C1" s="1" t="s">
        <v>100</v>
      </c>
    </row>
    <row r="2" spans="1:20">
      <c r="A2" t="s">
        <v>101</v>
      </c>
      <c r="B2" t="s">
        <v>102</v>
      </c>
      <c r="C2">
        <v>56</v>
      </c>
      <c r="E2" t="s">
        <v>72</v>
      </c>
      <c r="F2" t="s">
        <v>103</v>
      </c>
      <c r="G2">
        <v>16</v>
      </c>
      <c r="I2" t="s">
        <v>75</v>
      </c>
      <c r="J2" t="s">
        <v>104</v>
      </c>
      <c r="K2">
        <v>12</v>
      </c>
      <c r="M2" t="s">
        <v>78</v>
      </c>
      <c r="N2" t="s">
        <v>105</v>
      </c>
      <c r="O2">
        <v>34</v>
      </c>
      <c r="Q2" t="s">
        <v>74</v>
      </c>
      <c r="R2" t="s">
        <v>106</v>
      </c>
      <c r="S2">
        <v>12</v>
      </c>
    </row>
    <row r="3" spans="1:20">
      <c r="A3" t="s">
        <v>101</v>
      </c>
      <c r="B3" t="s">
        <v>107</v>
      </c>
      <c r="C3">
        <v>30</v>
      </c>
      <c r="E3" t="s">
        <v>72</v>
      </c>
      <c r="F3" t="s">
        <v>108</v>
      </c>
      <c r="G3">
        <v>10</v>
      </c>
      <c r="I3" t="s">
        <v>75</v>
      </c>
      <c r="J3" t="s">
        <v>109</v>
      </c>
      <c r="K3">
        <v>11</v>
      </c>
      <c r="M3" t="s">
        <v>78</v>
      </c>
      <c r="N3" t="s">
        <v>110</v>
      </c>
      <c r="O3">
        <v>15</v>
      </c>
      <c r="Q3" t="s">
        <v>74</v>
      </c>
      <c r="R3" t="s">
        <v>111</v>
      </c>
      <c r="S3">
        <v>12</v>
      </c>
    </row>
    <row r="4" spans="1:20">
      <c r="A4" t="s">
        <v>101</v>
      </c>
      <c r="B4" t="s">
        <v>112</v>
      </c>
      <c r="C4">
        <v>15</v>
      </c>
      <c r="E4" t="s">
        <v>72</v>
      </c>
      <c r="F4" t="s">
        <v>113</v>
      </c>
      <c r="G4">
        <v>9</v>
      </c>
      <c r="I4" t="s">
        <v>75</v>
      </c>
      <c r="J4" t="s">
        <v>114</v>
      </c>
      <c r="K4">
        <v>11</v>
      </c>
      <c r="M4" t="s">
        <v>78</v>
      </c>
      <c r="N4" t="s">
        <v>115</v>
      </c>
      <c r="O4">
        <v>14</v>
      </c>
      <c r="Q4" t="s">
        <v>74</v>
      </c>
      <c r="R4" t="s">
        <v>116</v>
      </c>
      <c r="S4">
        <v>12</v>
      </c>
    </row>
    <row r="5" spans="1:20">
      <c r="A5" t="s">
        <v>101</v>
      </c>
      <c r="B5" t="s">
        <v>117</v>
      </c>
      <c r="C5">
        <v>15</v>
      </c>
      <c r="E5" t="s">
        <v>72</v>
      </c>
      <c r="F5" t="s">
        <v>118</v>
      </c>
      <c r="G5">
        <v>9</v>
      </c>
      <c r="I5" t="s">
        <v>75</v>
      </c>
      <c r="J5" t="s">
        <v>119</v>
      </c>
      <c r="K5">
        <v>10</v>
      </c>
      <c r="M5" t="s">
        <v>78</v>
      </c>
      <c r="N5" t="s">
        <v>120</v>
      </c>
      <c r="O5">
        <v>13</v>
      </c>
      <c r="Q5" t="s">
        <v>74</v>
      </c>
      <c r="R5" t="s">
        <v>121</v>
      </c>
      <c r="S5">
        <v>9</v>
      </c>
    </row>
    <row r="6" spans="1:20">
      <c r="A6" t="s">
        <v>101</v>
      </c>
      <c r="B6" t="s">
        <v>122</v>
      </c>
      <c r="C6">
        <v>14</v>
      </c>
      <c r="E6" t="s">
        <v>72</v>
      </c>
      <c r="F6" t="s">
        <v>123</v>
      </c>
      <c r="G6">
        <v>8</v>
      </c>
      <c r="I6" t="s">
        <v>75</v>
      </c>
      <c r="J6" t="s">
        <v>124</v>
      </c>
      <c r="K6">
        <v>9</v>
      </c>
      <c r="M6" t="s">
        <v>78</v>
      </c>
      <c r="N6" t="s">
        <v>125</v>
      </c>
      <c r="O6">
        <v>13</v>
      </c>
      <c r="Q6" t="s">
        <v>74</v>
      </c>
      <c r="R6" t="s">
        <v>126</v>
      </c>
      <c r="S6">
        <v>9</v>
      </c>
    </row>
    <row r="7" spans="1:20">
      <c r="A7" t="s">
        <v>101</v>
      </c>
      <c r="B7" t="s">
        <v>127</v>
      </c>
      <c r="C7">
        <v>13</v>
      </c>
      <c r="E7" t="s">
        <v>72</v>
      </c>
      <c r="F7" t="s">
        <v>128</v>
      </c>
      <c r="G7">
        <v>8</v>
      </c>
      <c r="I7" t="s">
        <v>75</v>
      </c>
      <c r="J7" t="s">
        <v>129</v>
      </c>
      <c r="K7">
        <v>9</v>
      </c>
      <c r="M7" t="s">
        <v>78</v>
      </c>
      <c r="N7" t="s">
        <v>130</v>
      </c>
      <c r="O7">
        <v>11</v>
      </c>
      <c r="Q7" t="s">
        <v>74</v>
      </c>
      <c r="R7" t="s">
        <v>131</v>
      </c>
      <c r="S7">
        <v>9</v>
      </c>
    </row>
    <row r="8" spans="1:20">
      <c r="A8" t="s">
        <v>101</v>
      </c>
      <c r="B8" t="s">
        <v>132</v>
      </c>
      <c r="C8">
        <v>10</v>
      </c>
      <c r="E8" t="s">
        <v>72</v>
      </c>
      <c r="F8" t="s">
        <v>133</v>
      </c>
      <c r="G8">
        <v>7</v>
      </c>
      <c r="I8" t="s">
        <v>75</v>
      </c>
      <c r="J8" t="s">
        <v>134</v>
      </c>
      <c r="K8">
        <v>8</v>
      </c>
      <c r="M8" t="s">
        <v>78</v>
      </c>
      <c r="N8" t="s">
        <v>135</v>
      </c>
      <c r="O8">
        <v>11</v>
      </c>
      <c r="Q8" t="s">
        <v>74</v>
      </c>
      <c r="R8" t="s">
        <v>136</v>
      </c>
      <c r="S8">
        <v>9</v>
      </c>
    </row>
    <row r="9" spans="1:20">
      <c r="A9" t="s">
        <v>101</v>
      </c>
      <c r="B9" t="s">
        <v>137</v>
      </c>
      <c r="C9">
        <v>8</v>
      </c>
      <c r="E9" t="s">
        <v>72</v>
      </c>
      <c r="F9" t="s">
        <v>138</v>
      </c>
      <c r="G9">
        <v>7</v>
      </c>
      <c r="I9" t="s">
        <v>75</v>
      </c>
      <c r="J9" t="s">
        <v>139</v>
      </c>
      <c r="K9">
        <v>8</v>
      </c>
      <c r="M9" t="s">
        <v>78</v>
      </c>
      <c r="N9" t="s">
        <v>140</v>
      </c>
      <c r="O9">
        <v>8</v>
      </c>
      <c r="Q9" t="s">
        <v>74</v>
      </c>
      <c r="R9" t="s">
        <v>141</v>
      </c>
      <c r="S9">
        <v>8</v>
      </c>
    </row>
    <row r="10" spans="1:20">
      <c r="A10" t="s">
        <v>101</v>
      </c>
      <c r="B10" t="s">
        <v>142</v>
      </c>
      <c r="C10">
        <v>8</v>
      </c>
      <c r="E10" t="s">
        <v>72</v>
      </c>
      <c r="F10" t="s">
        <v>143</v>
      </c>
      <c r="G10">
        <v>7</v>
      </c>
      <c r="I10" t="s">
        <v>75</v>
      </c>
      <c r="J10" t="s">
        <v>144</v>
      </c>
      <c r="K10">
        <v>5</v>
      </c>
      <c r="M10" t="s">
        <v>78</v>
      </c>
      <c r="N10" t="s">
        <v>145</v>
      </c>
      <c r="O10">
        <v>8</v>
      </c>
      <c r="Q10" t="s">
        <v>74</v>
      </c>
      <c r="R10" t="s">
        <v>146</v>
      </c>
      <c r="S10">
        <v>8</v>
      </c>
    </row>
    <row r="11" spans="1:20">
      <c r="A11" t="s">
        <v>101</v>
      </c>
      <c r="B11" t="s">
        <v>147</v>
      </c>
      <c r="C11">
        <v>7</v>
      </c>
      <c r="E11" t="s">
        <v>72</v>
      </c>
      <c r="F11" t="s">
        <v>148</v>
      </c>
      <c r="G11">
        <v>7</v>
      </c>
      <c r="I11" t="s">
        <v>75</v>
      </c>
      <c r="J11" t="s">
        <v>149</v>
      </c>
      <c r="K11">
        <v>5</v>
      </c>
      <c r="M11" t="s">
        <v>78</v>
      </c>
      <c r="N11" t="s">
        <v>150</v>
      </c>
      <c r="O11">
        <v>6</v>
      </c>
      <c r="Q11" t="s">
        <v>74</v>
      </c>
      <c r="R11" t="s">
        <v>151</v>
      </c>
      <c r="S11">
        <v>7</v>
      </c>
    </row>
    <row r="12" spans="1:20">
      <c r="C12">
        <v>23.83333333333333</v>
      </c>
      <c r="D12">
        <v>17.6</v>
      </c>
      <c r="G12">
        <v>10</v>
      </c>
      <c r="H12">
        <v>8.800000000000001</v>
      </c>
      <c r="K12">
        <v>10.33333333333333</v>
      </c>
      <c r="L12">
        <v>8.800000000000001</v>
      </c>
      <c r="O12">
        <v>16.66666666666667</v>
      </c>
      <c r="P12">
        <v>13.3</v>
      </c>
      <c r="S12">
        <v>10.5</v>
      </c>
      <c r="T12">
        <v>9.5</v>
      </c>
    </row>
    <row r="14" spans="1:20">
      <c r="A14" t="s">
        <v>152</v>
      </c>
      <c r="B14" t="s">
        <v>153</v>
      </c>
      <c r="C14">
        <v>18</v>
      </c>
      <c r="E14" t="s">
        <v>154</v>
      </c>
      <c r="F14" t="s">
        <v>155</v>
      </c>
      <c r="G14">
        <v>42</v>
      </c>
      <c r="I14" t="s">
        <v>71</v>
      </c>
      <c r="J14" t="s">
        <v>156</v>
      </c>
      <c r="K14">
        <v>24</v>
      </c>
      <c r="M14" t="s">
        <v>157</v>
      </c>
      <c r="N14" t="s">
        <v>158</v>
      </c>
      <c r="O14">
        <v>15</v>
      </c>
      <c r="Q14" t="s">
        <v>159</v>
      </c>
      <c r="R14" t="s">
        <v>160</v>
      </c>
      <c r="S14">
        <v>15</v>
      </c>
    </row>
    <row r="15" spans="1:20">
      <c r="A15" t="s">
        <v>152</v>
      </c>
      <c r="B15" t="s">
        <v>161</v>
      </c>
      <c r="C15">
        <v>14</v>
      </c>
      <c r="E15" t="s">
        <v>154</v>
      </c>
      <c r="F15" t="s">
        <v>162</v>
      </c>
      <c r="G15">
        <v>15</v>
      </c>
      <c r="I15" t="s">
        <v>71</v>
      </c>
      <c r="J15" t="s">
        <v>163</v>
      </c>
      <c r="K15">
        <v>19</v>
      </c>
      <c r="M15" t="s">
        <v>157</v>
      </c>
      <c r="N15" t="s">
        <v>164</v>
      </c>
      <c r="O15">
        <v>13</v>
      </c>
      <c r="Q15" t="s">
        <v>159</v>
      </c>
      <c r="R15" t="s">
        <v>165</v>
      </c>
      <c r="S15">
        <v>13</v>
      </c>
    </row>
    <row r="16" spans="1:20">
      <c r="A16" t="s">
        <v>152</v>
      </c>
      <c r="B16" t="s">
        <v>166</v>
      </c>
      <c r="C16">
        <v>13</v>
      </c>
      <c r="E16" t="s">
        <v>154</v>
      </c>
      <c r="F16" t="s">
        <v>167</v>
      </c>
      <c r="G16">
        <v>13</v>
      </c>
      <c r="I16" t="s">
        <v>71</v>
      </c>
      <c r="J16" t="s">
        <v>168</v>
      </c>
      <c r="K16">
        <v>14</v>
      </c>
      <c r="M16" t="s">
        <v>157</v>
      </c>
      <c r="N16" t="s">
        <v>169</v>
      </c>
      <c r="O16">
        <v>12</v>
      </c>
      <c r="Q16" t="s">
        <v>159</v>
      </c>
      <c r="R16" t="s">
        <v>170</v>
      </c>
      <c r="S16">
        <v>12</v>
      </c>
    </row>
    <row r="17" spans="1:20">
      <c r="A17" t="s">
        <v>152</v>
      </c>
      <c r="B17" t="s">
        <v>171</v>
      </c>
      <c r="C17">
        <v>13</v>
      </c>
      <c r="E17" t="s">
        <v>154</v>
      </c>
      <c r="F17" t="s">
        <v>172</v>
      </c>
      <c r="G17">
        <v>12</v>
      </c>
      <c r="I17" t="s">
        <v>71</v>
      </c>
      <c r="J17" t="s">
        <v>173</v>
      </c>
      <c r="K17">
        <v>12</v>
      </c>
      <c r="M17" t="s">
        <v>157</v>
      </c>
      <c r="N17" t="s">
        <v>174</v>
      </c>
      <c r="O17">
        <v>12</v>
      </c>
      <c r="Q17" t="s">
        <v>159</v>
      </c>
      <c r="R17" t="s">
        <v>175</v>
      </c>
      <c r="S17">
        <v>10</v>
      </c>
    </row>
    <row r="18" spans="1:20">
      <c r="A18" t="s">
        <v>152</v>
      </c>
      <c r="B18" t="s">
        <v>176</v>
      </c>
      <c r="C18">
        <v>9</v>
      </c>
      <c r="E18" t="s">
        <v>154</v>
      </c>
      <c r="F18" t="s">
        <v>166</v>
      </c>
      <c r="G18">
        <v>12</v>
      </c>
      <c r="I18" t="s">
        <v>71</v>
      </c>
      <c r="J18" t="s">
        <v>177</v>
      </c>
      <c r="K18">
        <v>11</v>
      </c>
      <c r="M18" t="s">
        <v>157</v>
      </c>
      <c r="N18" t="s">
        <v>178</v>
      </c>
      <c r="O18">
        <v>11</v>
      </c>
      <c r="Q18" t="s">
        <v>159</v>
      </c>
      <c r="R18" t="s">
        <v>179</v>
      </c>
      <c r="S18">
        <v>9</v>
      </c>
    </row>
    <row r="19" spans="1:20">
      <c r="A19" t="s">
        <v>152</v>
      </c>
      <c r="B19" t="s">
        <v>180</v>
      </c>
      <c r="C19">
        <v>8</v>
      </c>
      <c r="E19" t="s">
        <v>154</v>
      </c>
      <c r="F19" t="s">
        <v>181</v>
      </c>
      <c r="G19">
        <v>11</v>
      </c>
      <c r="I19" t="s">
        <v>71</v>
      </c>
      <c r="J19" t="s">
        <v>182</v>
      </c>
      <c r="K19">
        <v>11</v>
      </c>
      <c r="M19" t="s">
        <v>157</v>
      </c>
      <c r="N19" t="s">
        <v>183</v>
      </c>
      <c r="O19">
        <v>11</v>
      </c>
      <c r="Q19" t="s">
        <v>159</v>
      </c>
      <c r="R19" t="s">
        <v>184</v>
      </c>
      <c r="S19">
        <v>9</v>
      </c>
    </row>
    <row r="20" spans="1:20">
      <c r="A20" t="s">
        <v>152</v>
      </c>
      <c r="B20" t="s">
        <v>185</v>
      </c>
      <c r="C20">
        <v>7</v>
      </c>
      <c r="E20" t="s">
        <v>154</v>
      </c>
      <c r="F20" t="s">
        <v>186</v>
      </c>
      <c r="G20">
        <v>6</v>
      </c>
      <c r="I20" t="s">
        <v>71</v>
      </c>
      <c r="J20" t="s">
        <v>187</v>
      </c>
      <c r="K20">
        <v>10</v>
      </c>
      <c r="M20" t="s">
        <v>157</v>
      </c>
      <c r="N20" t="s">
        <v>188</v>
      </c>
      <c r="O20">
        <v>11</v>
      </c>
      <c r="Q20" t="s">
        <v>159</v>
      </c>
      <c r="R20" t="s">
        <v>189</v>
      </c>
      <c r="S20">
        <v>7</v>
      </c>
    </row>
    <row r="21" spans="1:20">
      <c r="A21" t="s">
        <v>152</v>
      </c>
      <c r="B21" t="s">
        <v>190</v>
      </c>
      <c r="C21">
        <v>7</v>
      </c>
      <c r="E21" t="s">
        <v>154</v>
      </c>
      <c r="F21" t="s">
        <v>191</v>
      </c>
      <c r="G21">
        <v>6</v>
      </c>
      <c r="I21" t="s">
        <v>71</v>
      </c>
      <c r="J21" t="s">
        <v>192</v>
      </c>
      <c r="K21">
        <v>8</v>
      </c>
      <c r="M21" t="s">
        <v>157</v>
      </c>
      <c r="N21" t="s">
        <v>193</v>
      </c>
      <c r="O21">
        <v>9</v>
      </c>
      <c r="Q21" t="s">
        <v>159</v>
      </c>
      <c r="R21" t="s">
        <v>194</v>
      </c>
      <c r="S21">
        <v>7</v>
      </c>
    </row>
    <row r="22" spans="1:20">
      <c r="A22" t="s">
        <v>152</v>
      </c>
      <c r="B22" t="s">
        <v>195</v>
      </c>
      <c r="C22">
        <v>6</v>
      </c>
      <c r="E22" t="s">
        <v>154</v>
      </c>
      <c r="F22" t="s">
        <v>196</v>
      </c>
      <c r="G22">
        <v>6</v>
      </c>
      <c r="I22" t="s">
        <v>71</v>
      </c>
      <c r="J22" t="s">
        <v>197</v>
      </c>
      <c r="K22">
        <v>7</v>
      </c>
      <c r="M22" t="s">
        <v>157</v>
      </c>
      <c r="N22" t="s">
        <v>198</v>
      </c>
      <c r="O22">
        <v>9</v>
      </c>
      <c r="Q22" t="s">
        <v>159</v>
      </c>
      <c r="R22" t="s">
        <v>199</v>
      </c>
      <c r="S22">
        <v>6</v>
      </c>
    </row>
    <row r="23" spans="1:20">
      <c r="A23" t="s">
        <v>152</v>
      </c>
      <c r="B23" t="s">
        <v>200</v>
      </c>
      <c r="C23">
        <v>5</v>
      </c>
      <c r="E23" t="s">
        <v>154</v>
      </c>
      <c r="F23" t="s">
        <v>201</v>
      </c>
      <c r="G23">
        <v>5</v>
      </c>
      <c r="I23" t="s">
        <v>71</v>
      </c>
      <c r="J23" t="s">
        <v>202</v>
      </c>
      <c r="K23">
        <v>6</v>
      </c>
      <c r="M23" t="s">
        <v>157</v>
      </c>
      <c r="N23" t="s">
        <v>203</v>
      </c>
      <c r="O23">
        <v>8</v>
      </c>
      <c r="Q23" t="s">
        <v>159</v>
      </c>
      <c r="R23" t="s">
        <v>204</v>
      </c>
      <c r="S23">
        <v>6</v>
      </c>
    </row>
    <row r="24" spans="1:20">
      <c r="C24">
        <v>12.5</v>
      </c>
      <c r="D24">
        <v>10</v>
      </c>
      <c r="G24">
        <v>17.5</v>
      </c>
      <c r="H24">
        <v>12.8</v>
      </c>
      <c r="K24">
        <v>15.16666666666667</v>
      </c>
      <c r="L24">
        <v>12.2</v>
      </c>
      <c r="O24">
        <v>12.33333333333333</v>
      </c>
      <c r="P24">
        <v>11.1</v>
      </c>
      <c r="S24">
        <v>11.33333333333333</v>
      </c>
      <c r="T24">
        <v>9.4</v>
      </c>
    </row>
    <row r="26" spans="1:20">
      <c r="A26" t="s">
        <v>80</v>
      </c>
      <c r="B26" t="s">
        <v>205</v>
      </c>
      <c r="C26">
        <v>14</v>
      </c>
      <c r="E26" t="s">
        <v>81</v>
      </c>
      <c r="F26" t="s">
        <v>206</v>
      </c>
      <c r="G26">
        <v>19</v>
      </c>
    </row>
    <row r="27" spans="1:20">
      <c r="A27" t="s">
        <v>80</v>
      </c>
      <c r="B27" t="s">
        <v>207</v>
      </c>
      <c r="C27">
        <v>13</v>
      </c>
      <c r="E27" t="s">
        <v>81</v>
      </c>
      <c r="F27" t="s">
        <v>208</v>
      </c>
      <c r="G27">
        <v>11</v>
      </c>
    </row>
    <row r="28" spans="1:20">
      <c r="A28" t="s">
        <v>80</v>
      </c>
      <c r="B28" t="s">
        <v>209</v>
      </c>
      <c r="C28">
        <v>12</v>
      </c>
      <c r="E28" t="s">
        <v>81</v>
      </c>
      <c r="F28" t="s">
        <v>210</v>
      </c>
      <c r="G28">
        <v>11</v>
      </c>
    </row>
    <row r="29" spans="1:20">
      <c r="A29" t="s">
        <v>80</v>
      </c>
      <c r="B29" t="s">
        <v>211</v>
      </c>
      <c r="C29">
        <v>12</v>
      </c>
      <c r="E29" t="s">
        <v>81</v>
      </c>
      <c r="F29" t="s">
        <v>212</v>
      </c>
      <c r="G29">
        <v>10</v>
      </c>
    </row>
    <row r="30" spans="1:20">
      <c r="A30" t="s">
        <v>80</v>
      </c>
      <c r="B30" t="s">
        <v>213</v>
      </c>
      <c r="C30">
        <v>10</v>
      </c>
      <c r="E30" t="s">
        <v>81</v>
      </c>
      <c r="F30" t="s">
        <v>214</v>
      </c>
      <c r="G30">
        <v>10</v>
      </c>
    </row>
    <row r="31" spans="1:20">
      <c r="A31" t="s">
        <v>80</v>
      </c>
      <c r="B31" t="s">
        <v>215</v>
      </c>
      <c r="C31">
        <v>10</v>
      </c>
      <c r="E31" t="s">
        <v>81</v>
      </c>
      <c r="F31" t="s">
        <v>216</v>
      </c>
      <c r="G31">
        <v>10</v>
      </c>
    </row>
    <row r="32" spans="1:20">
      <c r="A32" t="s">
        <v>80</v>
      </c>
      <c r="B32" t="s">
        <v>217</v>
      </c>
      <c r="C32">
        <v>10</v>
      </c>
      <c r="E32" t="s">
        <v>81</v>
      </c>
      <c r="F32" t="s">
        <v>218</v>
      </c>
      <c r="G32">
        <v>8</v>
      </c>
    </row>
    <row r="33" spans="1:8">
      <c r="A33" t="s">
        <v>80</v>
      </c>
      <c r="B33" t="s">
        <v>219</v>
      </c>
      <c r="C33">
        <v>9</v>
      </c>
      <c r="E33" t="s">
        <v>81</v>
      </c>
      <c r="F33" t="s">
        <v>220</v>
      </c>
      <c r="G33">
        <v>8</v>
      </c>
    </row>
    <row r="34" spans="1:8">
      <c r="A34" t="s">
        <v>80</v>
      </c>
      <c r="B34" t="s">
        <v>221</v>
      </c>
      <c r="C34">
        <v>9</v>
      </c>
      <c r="E34" t="s">
        <v>81</v>
      </c>
      <c r="F34" t="s">
        <v>222</v>
      </c>
      <c r="G34">
        <v>7</v>
      </c>
    </row>
    <row r="35" spans="1:8">
      <c r="A35" t="s">
        <v>80</v>
      </c>
      <c r="B35" t="s">
        <v>223</v>
      </c>
      <c r="C35">
        <v>6</v>
      </c>
      <c r="E35" t="s">
        <v>81</v>
      </c>
      <c r="F35" t="s">
        <v>224</v>
      </c>
      <c r="G35">
        <v>6</v>
      </c>
    </row>
    <row r="36" spans="1:8">
      <c r="C36">
        <v>11.83333333333333</v>
      </c>
      <c r="D36">
        <v>10.5</v>
      </c>
      <c r="G36">
        <v>11.83333333333333</v>
      </c>
      <c r="H36">
        <v>10</v>
      </c>
    </row>
    <row r="49" spans="1:5">
      <c r="A49">
        <v>17738</v>
      </c>
      <c r="B49">
        <v>20328</v>
      </c>
      <c r="C49">
        <v>21793</v>
      </c>
      <c r="D49">
        <v>21815</v>
      </c>
      <c r="E49">
        <v>22312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9"/>
  <sheetViews>
    <sheetView workbookViewId="0">
      <pane ySplit="1" topLeftCell="A2" activePane="bottomLeft" state="frozen"/>
      <selection pane="bottomLeft"/>
    </sheetView>
  </sheetViews>
  <sheetFormatPr defaultRowHeight="15"/>
  <cols>
    <col min="1" max="1" width="29.7109375" customWidth="1"/>
    <col min="2" max="2" width="115.7109375" customWidth="1"/>
  </cols>
  <sheetData>
    <row r="1" spans="1:2">
      <c r="A1" s="1" t="s">
        <v>225</v>
      </c>
      <c r="B1" s="1" t="s">
        <v>226</v>
      </c>
    </row>
    <row r="2" spans="1:2" ht="64" customHeight="1">
      <c r="A2" s="3" t="s">
        <v>227</v>
      </c>
      <c r="B2" s="3" t="s">
        <v>228</v>
      </c>
    </row>
    <row r="3" spans="1:2" ht="64" customHeight="1">
      <c r="A3" s="3" t="s">
        <v>229</v>
      </c>
      <c r="B3" s="3" t="s">
        <v>230</v>
      </c>
    </row>
    <row r="4" spans="1:2" ht="64" customHeight="1">
      <c r="A4" s="3" t="s">
        <v>231</v>
      </c>
      <c r="B4" s="3" t="s">
        <v>232</v>
      </c>
    </row>
    <row r="5" spans="1:2" ht="64" customHeight="1">
      <c r="A5" s="3" t="s">
        <v>233</v>
      </c>
      <c r="B5" s="3" t="s">
        <v>234</v>
      </c>
    </row>
    <row r="6" spans="1:2" ht="64" customHeight="1">
      <c r="A6" s="3" t="s">
        <v>235</v>
      </c>
      <c r="B6" s="3" t="s">
        <v>236</v>
      </c>
    </row>
    <row r="7" spans="1:2" ht="64" customHeight="1">
      <c r="A7" s="3" t="s">
        <v>237</v>
      </c>
      <c r="B7" s="3" t="s">
        <v>238</v>
      </c>
    </row>
    <row r="8" spans="1:2" ht="64" customHeight="1">
      <c r="A8" s="3" t="s">
        <v>239</v>
      </c>
      <c r="B8" s="3" t="s">
        <v>240</v>
      </c>
    </row>
    <row r="9" spans="1:2" ht="64" customHeight="1">
      <c r="A9" s="3" t="s">
        <v>241</v>
      </c>
      <c r="B9" s="3" t="s">
        <v>242</v>
      </c>
    </row>
    <row r="10" spans="1:2" ht="64" customHeight="1">
      <c r="A10" s="3" t="s">
        <v>243</v>
      </c>
      <c r="B10" s="3" t="s">
        <v>244</v>
      </c>
    </row>
    <row r="11" spans="1:2" ht="64" customHeight="1">
      <c r="A11" s="3" t="s">
        <v>245</v>
      </c>
      <c r="B11" s="3" t="s">
        <v>246</v>
      </c>
    </row>
    <row r="12" spans="1:2" ht="64" customHeight="1">
      <c r="A12" s="3" t="s">
        <v>247</v>
      </c>
      <c r="B12" s="3" t="s">
        <v>248</v>
      </c>
    </row>
    <row r="13" spans="1:2" ht="64" customHeight="1">
      <c r="A13" s="3" t="s">
        <v>249</v>
      </c>
      <c r="B13" s="3" t="s">
        <v>250</v>
      </c>
    </row>
    <row r="14" spans="1:2" ht="64" customHeight="1">
      <c r="A14" s="3" t="s">
        <v>251</v>
      </c>
      <c r="B14" s="3" t="s">
        <v>252</v>
      </c>
    </row>
    <row r="15" spans="1:2" ht="64" customHeight="1">
      <c r="A15" s="3" t="s">
        <v>253</v>
      </c>
      <c r="B15" s="3" t="s">
        <v>254</v>
      </c>
    </row>
    <row r="16" spans="1:2" ht="64" customHeight="1">
      <c r="A16" s="3" t="s">
        <v>255</v>
      </c>
      <c r="B16" s="3" t="s">
        <v>256</v>
      </c>
    </row>
    <row r="17" spans="1:2" ht="64" customHeight="1">
      <c r="A17" s="3" t="s">
        <v>257</v>
      </c>
      <c r="B17" s="3" t="s">
        <v>258</v>
      </c>
    </row>
    <row r="18" spans="1:2" ht="64" customHeight="1">
      <c r="A18" s="3" t="s">
        <v>259</v>
      </c>
      <c r="B18" s="3" t="s">
        <v>260</v>
      </c>
    </row>
    <row r="19" spans="1:2" ht="64" customHeight="1">
      <c r="A19" s="3" t="s">
        <v>261</v>
      </c>
      <c r="B19" s="3" t="s">
        <v>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2"/>
  <sheetViews>
    <sheetView workbookViewId="0"/>
  </sheetViews>
  <sheetFormatPr defaultRowHeight="15"/>
  <cols>
    <col min="1" max="1" width="58.7109375" customWidth="1"/>
    <col min="2" max="2" width="18.7109375" customWidth="1"/>
  </cols>
  <sheetData>
    <row r="1" spans="1:2">
      <c r="A1" s="1" t="s">
        <v>263</v>
      </c>
      <c r="B1" s="1" t="s">
        <v>264</v>
      </c>
    </row>
    <row r="2" spans="1:2">
      <c r="A2" t="s">
        <v>265</v>
      </c>
      <c r="B2" s="4">
        <v>0.3</v>
      </c>
    </row>
    <row r="3" spans="1:2">
      <c r="A3" t="s">
        <v>266</v>
      </c>
      <c r="B3" s="4">
        <v>0.22</v>
      </c>
    </row>
    <row r="4" spans="1:2">
      <c r="A4" t="s">
        <v>267</v>
      </c>
      <c r="B4" s="4">
        <v>0.28</v>
      </c>
    </row>
    <row r="5" spans="1:2">
      <c r="A5" t="s">
        <v>268</v>
      </c>
      <c r="B5" s="4">
        <v>0.12</v>
      </c>
    </row>
    <row r="6" spans="1:2">
      <c r="A6" t="s">
        <v>269</v>
      </c>
      <c r="B6" s="4">
        <v>0.08</v>
      </c>
    </row>
    <row r="7" spans="1:2">
      <c r="A7" t="s">
        <v>270</v>
      </c>
      <c r="B7" s="4">
        <v>0.65</v>
      </c>
    </row>
    <row r="8" spans="1:2">
      <c r="A8" t="s">
        <v>271</v>
      </c>
      <c r="B8" s="4">
        <v>0.9</v>
      </c>
    </row>
    <row r="9" spans="1:2">
      <c r="A9" t="s">
        <v>272</v>
      </c>
      <c r="B9" s="4">
        <v>0.7</v>
      </c>
    </row>
    <row r="10" spans="1:2">
      <c r="A10" t="s">
        <v>273</v>
      </c>
      <c r="B10" s="4">
        <v>0.4</v>
      </c>
    </row>
    <row r="11" spans="1:2">
      <c r="A11" t="s">
        <v>274</v>
      </c>
      <c r="B11" s="4">
        <v>0.35</v>
      </c>
    </row>
    <row r="12" spans="1:2">
      <c r="A12" t="s">
        <v>275</v>
      </c>
      <c r="B12" s="5">
        <v>70</v>
      </c>
    </row>
    <row r="13" spans="1:2">
      <c r="A13" t="s">
        <v>276</v>
      </c>
      <c r="B13" s="5">
        <v>50</v>
      </c>
    </row>
    <row r="14" spans="1:2">
      <c r="A14" t="s">
        <v>277</v>
      </c>
      <c r="B14" s="5">
        <v>15</v>
      </c>
    </row>
    <row r="15" spans="1:2">
      <c r="A15" t="s">
        <v>278</v>
      </c>
      <c r="B15" s="5">
        <v>75</v>
      </c>
    </row>
    <row r="16" spans="1:2">
      <c r="A16" t="s">
        <v>279</v>
      </c>
      <c r="B16" s="5">
        <v>65</v>
      </c>
    </row>
    <row r="17" spans="1:2">
      <c r="A17" t="s">
        <v>280</v>
      </c>
      <c r="B17" s="5">
        <v>50</v>
      </c>
    </row>
    <row r="18" spans="1:2">
      <c r="A18" t="s">
        <v>281</v>
      </c>
      <c r="B18" s="5">
        <v>1.2</v>
      </c>
    </row>
    <row r="19" spans="1:2">
      <c r="A19" t="s">
        <v>282</v>
      </c>
      <c r="B19" s="5">
        <v>0.8</v>
      </c>
    </row>
    <row r="20" spans="1:2">
      <c r="A20" t="s">
        <v>283</v>
      </c>
      <c r="B20" s="5">
        <v>50</v>
      </c>
    </row>
    <row r="22" spans="1:2">
      <c r="A22" t="s">
        <v>284</v>
      </c>
      <c r="B22" s="4">
        <f>SUM(B2:B6)</f>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9.7109375" customWidth="1"/>
    <col min="2" max="13" width="21.7109375" customWidth="1"/>
  </cols>
  <sheetData>
    <row r="1" spans="1:13" ht="45" customHeight="1">
      <c r="A1" s="1" t="s">
        <v>57</v>
      </c>
      <c r="B1" s="1" t="s">
        <v>285</v>
      </c>
      <c r="C1" s="1" t="s">
        <v>286</v>
      </c>
      <c r="D1" s="1" t="s">
        <v>287</v>
      </c>
      <c r="E1" s="1" t="s">
        <v>288</v>
      </c>
      <c r="F1" s="1" t="s">
        <v>289</v>
      </c>
      <c r="G1" s="1" t="s">
        <v>290</v>
      </c>
      <c r="H1" s="1" t="s">
        <v>291</v>
      </c>
      <c r="I1" s="1" t="s">
        <v>292</v>
      </c>
      <c r="J1" s="1" t="s">
        <v>293</v>
      </c>
      <c r="K1" s="1" t="s">
        <v>294</v>
      </c>
      <c r="L1" s="1" t="s">
        <v>295</v>
      </c>
      <c r="M1" s="1" t="s">
        <v>296</v>
      </c>
    </row>
    <row r="2" spans="1:13">
      <c r="A2" t="s">
        <v>3</v>
      </c>
      <c r="B2" s="4">
        <v>0.384254792194357</v>
      </c>
      <c r="C2" s="4">
        <v>0.3149568200352171</v>
      </c>
      <c r="D2" s="5">
        <v>36.71428571428572</v>
      </c>
      <c r="E2" s="5">
        <v>12.804</v>
      </c>
      <c r="F2" s="5">
        <v>120</v>
      </c>
      <c r="G2" s="5">
        <v>1</v>
      </c>
      <c r="H2" s="4">
        <v>0.95</v>
      </c>
      <c r="I2" s="5">
        <v>982.17</v>
      </c>
      <c r="J2" s="5">
        <v>10</v>
      </c>
      <c r="K2" s="4">
        <v>0.02044390812542818</v>
      </c>
      <c r="L2" s="5">
        <v>164020230.83</v>
      </c>
      <c r="M2" s="5">
        <v>742189478.6900001</v>
      </c>
    </row>
    <row r="3" spans="1:13">
      <c r="A3" t="s">
        <v>4</v>
      </c>
      <c r="B3" s="4">
        <v>0.06</v>
      </c>
      <c r="C3" s="4">
        <v>1.616788029348603</v>
      </c>
      <c r="D3" s="5">
        <v>18.28571428571428</v>
      </c>
      <c r="E3" s="5">
        <v>12.804</v>
      </c>
      <c r="F3" s="5">
        <v>21054</v>
      </c>
      <c r="G3" s="5">
        <v>194</v>
      </c>
      <c r="H3" s="4">
        <v>0.7</v>
      </c>
      <c r="I3" s="5">
        <v>1276.95</v>
      </c>
      <c r="J3" s="5">
        <v>9</v>
      </c>
      <c r="K3" s="4">
        <v>1.002998462652623</v>
      </c>
      <c r="L3" s="5">
        <v>26808346.17</v>
      </c>
      <c r="M3" s="5">
        <v>432254810.49</v>
      </c>
    </row>
    <row r="4" spans="1:13">
      <c r="A4" t="s">
        <v>5</v>
      </c>
      <c r="B4" s="4">
        <v>0.282300799369509</v>
      </c>
      <c r="C4" s="4">
        <v>0.07776227577852809</v>
      </c>
      <c r="D4" s="5">
        <v>81</v>
      </c>
      <c r="E4" s="5">
        <v>12.028</v>
      </c>
      <c r="F4" s="5">
        <v>30236</v>
      </c>
      <c r="G4" s="5">
        <v>12</v>
      </c>
      <c r="H4" s="4">
        <v>0.97</v>
      </c>
      <c r="I4" s="5">
        <v>739.35</v>
      </c>
      <c r="J4" s="5">
        <v>10</v>
      </c>
      <c r="K4" s="4">
        <v>-0.1901142591546093</v>
      </c>
      <c r="L4" s="5">
        <v>70437974.47</v>
      </c>
      <c r="M4" s="5">
        <v>270953661.74</v>
      </c>
    </row>
    <row r="5" spans="1:13">
      <c r="A5" t="s">
        <v>6</v>
      </c>
      <c r="B5" s="4">
        <v>0.1251915956242503</v>
      </c>
      <c r="C5" s="4">
        <v>0.03054169814198867</v>
      </c>
      <c r="D5" s="5">
        <v>74.28571428571429</v>
      </c>
      <c r="E5" s="5">
        <v>11.64</v>
      </c>
      <c r="F5" s="5">
        <v>24343</v>
      </c>
      <c r="G5" s="5">
        <v>21</v>
      </c>
      <c r="H5" s="4">
        <v>0.95</v>
      </c>
      <c r="I5" s="5">
        <v>1135.43</v>
      </c>
      <c r="J5" s="5">
        <v>14</v>
      </c>
      <c r="K5" s="4">
        <v>0.2234990958179361</v>
      </c>
      <c r="L5" s="5">
        <v>37942681.37</v>
      </c>
      <c r="M5" s="5">
        <v>96188193.92</v>
      </c>
    </row>
    <row r="6" spans="1:13">
      <c r="A6" t="s">
        <v>7</v>
      </c>
      <c r="B6" s="4">
        <v>0.1473321383058772</v>
      </c>
      <c r="C6" s="4">
        <v>0.0783057239410043</v>
      </c>
      <c r="D6" s="5">
        <v>74.85714285714286</v>
      </c>
      <c r="E6" s="5">
        <v>11.64</v>
      </c>
      <c r="F6" s="5">
        <v>10430</v>
      </c>
      <c r="G6" s="5">
        <v>7</v>
      </c>
      <c r="H6" s="4">
        <v>0.9</v>
      </c>
      <c r="I6" s="5">
        <v>1135.43</v>
      </c>
      <c r="J6" s="5">
        <v>12</v>
      </c>
      <c r="K6" s="4">
        <v>0.06702174196667698</v>
      </c>
      <c r="L6" s="5">
        <v>9011008.109999999</v>
      </c>
      <c r="M6" s="5">
        <v>2497795.87</v>
      </c>
    </row>
    <row r="7" spans="1:13">
      <c r="A7" t="s">
        <v>8</v>
      </c>
      <c r="B7" s="4">
        <v>0.6607827009011822</v>
      </c>
      <c r="C7" s="4">
        <v>-0.2402546959501407</v>
      </c>
      <c r="D7" s="5">
        <v>24.57142857142857</v>
      </c>
      <c r="E7" s="5">
        <v>12.416</v>
      </c>
      <c r="F7" s="5">
        <v>8651</v>
      </c>
      <c r="G7" s="5">
        <v>9</v>
      </c>
      <c r="H7" s="4">
        <v>0.85</v>
      </c>
      <c r="I7" s="5">
        <v>784</v>
      </c>
      <c r="J7" s="5">
        <v>5</v>
      </c>
      <c r="K7" s="4">
        <v>0.5572853585182966</v>
      </c>
      <c r="L7" s="5">
        <v>7501947.4</v>
      </c>
      <c r="M7" s="5">
        <v>26815816.46</v>
      </c>
    </row>
    <row r="8" spans="1:13">
      <c r="A8" t="s">
        <v>9</v>
      </c>
      <c r="B8" s="4">
        <v>0.1471656888922094</v>
      </c>
      <c r="C8" s="4">
        <v>0.3061430634419498</v>
      </c>
      <c r="D8" s="5">
        <v>65.14285714285714</v>
      </c>
      <c r="E8" s="5">
        <v>11.64</v>
      </c>
      <c r="F8" s="5">
        <v>30280</v>
      </c>
      <c r="G8" s="5">
        <v>9</v>
      </c>
      <c r="H8" s="4">
        <v>0.97</v>
      </c>
      <c r="I8" s="5">
        <v>721.87</v>
      </c>
      <c r="J8" s="5">
        <v>15</v>
      </c>
      <c r="K8" s="4">
        <v>0.4976143192427718</v>
      </c>
      <c r="L8" s="5">
        <v>2247789485.76</v>
      </c>
      <c r="M8" s="5">
        <v>2529697202.45</v>
      </c>
    </row>
    <row r="9" spans="1:13">
      <c r="A9" t="s">
        <v>10</v>
      </c>
      <c r="B9" s="4">
        <v>0.1227360985984467</v>
      </c>
      <c r="C9" s="4">
        <v>0.1798631096395144</v>
      </c>
      <c r="D9" s="5">
        <v>62.71428571428572</v>
      </c>
      <c r="E9" s="5">
        <v>12.028</v>
      </c>
      <c r="F9" s="5">
        <v>10806</v>
      </c>
      <c r="G9" s="5">
        <v>10</v>
      </c>
      <c r="H9" s="4">
        <v>0.82</v>
      </c>
      <c r="I9" s="5">
        <v>804.64</v>
      </c>
      <c r="J9" s="5">
        <v>11</v>
      </c>
      <c r="K9" s="4">
        <v>0.02970592540084782</v>
      </c>
      <c r="L9" s="5">
        <v>349831037.32</v>
      </c>
      <c r="M9" s="5">
        <v>1030132005.7</v>
      </c>
    </row>
    <row r="10" spans="1:13">
      <c r="A10" t="s">
        <v>11</v>
      </c>
      <c r="B10" s="4">
        <v>0.1230580223111627</v>
      </c>
      <c r="C10" s="4">
        <v>0.3334193024400443</v>
      </c>
      <c r="D10" s="5">
        <v>14</v>
      </c>
      <c r="E10" s="5">
        <v>12.804</v>
      </c>
      <c r="F10" s="5">
        <v>126</v>
      </c>
      <c r="G10" s="5">
        <v>1</v>
      </c>
      <c r="H10" s="4">
        <v>0.97</v>
      </c>
      <c r="I10" s="5">
        <v>1516.06</v>
      </c>
      <c r="J10" s="5">
        <v>6</v>
      </c>
      <c r="K10" s="4">
        <v>0.04311976047904187</v>
      </c>
      <c r="L10" s="5">
        <v>99187.44</v>
      </c>
      <c r="M10" s="5">
        <v>360282.75</v>
      </c>
    </row>
    <row r="11" spans="1:13">
      <c r="A11" t="s">
        <v>12</v>
      </c>
      <c r="B11" s="4">
        <v>0.1765712645536539</v>
      </c>
      <c r="C11" s="4">
        <v>0.1145271169335782</v>
      </c>
      <c r="D11" s="5">
        <v>59.57142857142857</v>
      </c>
      <c r="E11" s="5">
        <v>11.64</v>
      </c>
      <c r="F11" s="5">
        <v>11671</v>
      </c>
      <c r="G11" s="5">
        <v>11</v>
      </c>
      <c r="H11" s="4">
        <v>0.9</v>
      </c>
      <c r="I11" s="5">
        <v>577.89</v>
      </c>
      <c r="J11" s="5">
        <v>10</v>
      </c>
      <c r="K11" s="4">
        <v>0.5670169858342078</v>
      </c>
      <c r="L11" s="5">
        <v>105108884.09</v>
      </c>
      <c r="M11" s="5">
        <v>283505256.86</v>
      </c>
    </row>
    <row r="12" spans="1:13">
      <c r="A12" t="s">
        <v>13</v>
      </c>
      <c r="B12" s="4">
        <v>-0.5005745169330396</v>
      </c>
      <c r="C12" s="4">
        <v>-0.3622386052765799</v>
      </c>
      <c r="D12" s="5">
        <v>40.28571428571428</v>
      </c>
      <c r="E12" s="5">
        <v>12.416</v>
      </c>
      <c r="F12" s="5">
        <v>3730</v>
      </c>
      <c r="G12" s="5">
        <v>1</v>
      </c>
      <c r="H12" s="4">
        <v>0.85</v>
      </c>
      <c r="I12" s="5">
        <v>855.11</v>
      </c>
      <c r="J12" s="5">
        <v>4</v>
      </c>
      <c r="K12" s="4">
        <v>-0.2152230971128609</v>
      </c>
      <c r="L12" s="5">
        <v>1036966.97</v>
      </c>
      <c r="M12" s="5">
        <v>269825.34</v>
      </c>
    </row>
    <row r="13" spans="1:13">
      <c r="A13" t="s">
        <v>14</v>
      </c>
      <c r="B13" s="4">
        <v>0.1576423268848857</v>
      </c>
      <c r="C13" s="4">
        <v>0.220599466734561</v>
      </c>
      <c r="D13" s="5">
        <v>48.71428571428572</v>
      </c>
      <c r="E13" s="5">
        <v>12.028</v>
      </c>
      <c r="F13" s="5">
        <v>14080</v>
      </c>
      <c r="G13" s="5">
        <v>6</v>
      </c>
      <c r="H13" s="4">
        <v>0.85</v>
      </c>
      <c r="I13" s="5">
        <v>727.66</v>
      </c>
      <c r="J13" s="5">
        <v>13</v>
      </c>
      <c r="K13" s="4">
        <v>0.2192997850217175</v>
      </c>
      <c r="L13" s="5">
        <v>598808.41</v>
      </c>
      <c r="M13" s="5">
        <v>94330062.3</v>
      </c>
    </row>
  </sheetData>
  <autoFilter ref="A1:M1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9.7109375" customWidth="1"/>
    <col min="2" max="14" width="19.7109375" customWidth="1"/>
  </cols>
  <sheetData>
    <row r="1" spans="1:14" ht="45" customHeight="1">
      <c r="A1" s="1" t="s">
        <v>57</v>
      </c>
      <c r="B1" s="1" t="s">
        <v>297</v>
      </c>
      <c r="C1" s="1" t="s">
        <v>298</v>
      </c>
      <c r="D1" s="1" t="s">
        <v>299</v>
      </c>
      <c r="E1" s="1" t="s">
        <v>300</v>
      </c>
      <c r="F1" s="1" t="s">
        <v>301</v>
      </c>
      <c r="G1" s="1" t="s">
        <v>291</v>
      </c>
      <c r="H1" s="1" t="s">
        <v>292</v>
      </c>
      <c r="I1" s="1" t="s">
        <v>302</v>
      </c>
      <c r="J1" s="1" t="s">
        <v>303</v>
      </c>
      <c r="K1" s="1" t="s">
        <v>249</v>
      </c>
      <c r="L1" s="1" t="s">
        <v>304</v>
      </c>
      <c r="M1" s="1" t="s">
        <v>305</v>
      </c>
      <c r="N1" s="1" t="s">
        <v>306</v>
      </c>
    </row>
    <row r="2" spans="1:14">
      <c r="A2" t="s">
        <v>3</v>
      </c>
      <c r="B2" s="5">
        <f>MAX(0,MIN(100,'Parámetros'!$B$12+'Parámetros'!$B$13*(Datos!B2-Datos!$B$2)))</f>
        <v>70.0</v>
      </c>
      <c r="C2" s="5">
        <f>MAX(0,MIN(100,'Parámetros'!$B$12+'Parámetros'!$B$13*(Datos!C2-Datos!$C$2)))</f>
        <v>70.0</v>
      </c>
      <c r="D2" s="5">
        <f>MIN(100,2*'Parámetros'!$B$12*Datos!D2/(Datos!D2+Datos!$D$2))</f>
        <v>70.0</v>
      </c>
      <c r="E2" s="5">
        <f>MIN(100,2*'Parámetros'!$B$12*Datos!E2/(Datos!E2+Datos!$E$2))</f>
        <v>70.0</v>
      </c>
      <c r="F2" s="5">
        <f>MIN(100,2*'Parámetros'!$B$12*(Datos!G2/Datos!F2)/(Datos!G2/Datos!F2+Datos!$G$2/Datos!$F$2))</f>
        <v>70.0</v>
      </c>
      <c r="G2" s="5">
        <f>MIN(100,2*'Parámetros'!$B$12*Datos!H2/(Datos!H2+Datos!$H$2))</f>
        <v>70.0</v>
      </c>
      <c r="H2" s="5">
        <f>MIN(100,2*'Parámetros'!$B$12*Datos!I2/(Datos!I2+Datos!$I$2))</f>
        <v>70.0</v>
      </c>
      <c r="I2" s="5">
        <f>MIN(100,2*'Parámetros'!$B$12*Datos!$J$2/(Datos!J2+Datos!$J$2))</f>
        <v>70.0</v>
      </c>
      <c r="J2" s="5">
        <f>MIN(D2,SQRT(D2*I2))</f>
        <v>70.0</v>
      </c>
      <c r="K2" s="5">
        <f>MAX(0,MIN(100,'Parámetros'!$B$12-'Parámetros'!$B$13*(Datos!K2-Datos!$K$2)))</f>
        <v>70.0</v>
      </c>
      <c r="L2" s="5">
        <f>MAX(0,MIN(100,'Parámetros'!$B$12+'Parámetros'!$B$14*LN((Datos!L2+Datos!M2)/(Datos!$L$2+Datos!$M$2))))</f>
        <v>70.0</v>
      </c>
      <c r="M2" s="5">
        <f>'Parámetros'!$B$7*('Parámetros'!$B$8*D2+(1-'Parámetros'!$B$8)*E2)+(1-'Parámetros'!$B$7)*('Parámetros'!$B$9*B2+(1-'Parámetros'!$B$9)*C2)</f>
        <v>70.0</v>
      </c>
      <c r="N2" s="5">
        <f>'Parámetros'!$B$10*F2+'Parámetros'!$B$11*G2+(1-'Parámetros'!$B$10-'Parámetros'!$B$11)*H2</f>
        <v>70.0</v>
      </c>
    </row>
    <row r="3" spans="1:14">
      <c r="A3" t="s">
        <v>4</v>
      </c>
      <c r="B3" s="5">
        <f>MAX(0,MIN(100,'Parámetros'!$B$12+'Parámetros'!$B$13*(Datos!B3-Datos!$B$2)))</f>
        <v>53.78726039028215</v>
      </c>
      <c r="C3" s="5">
        <f>MAX(0,MIN(100,'Parámetros'!$B$12+'Parámetros'!$B$13*(Datos!C3-Datos!$C$2)))</f>
        <v>100</v>
      </c>
      <c r="D3" s="5">
        <f>MIN(100,2*'Parámetros'!$B$12*Datos!D3/(Datos!D3+Datos!$D$2))</f>
        <v>46.54545454545455</v>
      </c>
      <c r="E3" s="5">
        <f>MIN(100,2*'Parámetros'!$B$12*Datos!E3/(Datos!E3+Datos!$E$2))</f>
        <v>70.0</v>
      </c>
      <c r="F3" s="5">
        <f>MIN(100,2*'Parámetros'!$B$12*(Datos!G3/Datos!F3)/(Datos!G3/Datos!F3+Datos!$G$2/Datos!$F$2))</f>
        <v>73.51468398971444</v>
      </c>
      <c r="G3" s="5">
        <f>MIN(100,2*'Parámetros'!$B$12*Datos!H3/(Datos!H3+Datos!$H$2))</f>
        <v>59.3939393939394</v>
      </c>
      <c r="H3" s="5">
        <f>MIN(100,2*'Parámetros'!$B$12*Datos!I3/(Datos!I3+Datos!$I$2))</f>
        <v>79.13391054924041</v>
      </c>
      <c r="I3" s="5">
        <f>MIN(100,2*'Parámetros'!$B$12*Datos!$J$2/(Datos!J3+Datos!$J$2))</f>
        <v>73.6842105263158</v>
      </c>
      <c r="J3" s="5">
        <f>MIN(D3,SQRT(D3*I3))</f>
        <v>46.54545454545455</v>
      </c>
      <c r="K3" s="5">
        <f>MAX(0,MIN(100,'Parámetros'!$B$12-'Parámetros'!$B$13*(Datos!K3-Datos!$K$2)))</f>
        <v>20.87227227364027</v>
      </c>
      <c r="L3" s="5">
        <f>MAX(0,MIN(100,'Parámetros'!$B$12+'Parámetros'!$B$14*LN((Datos!L3+Datos!M3)/(Datos!$L$2+Datos!$M$2))))</f>
        <v>59.79875575126476</v>
      </c>
      <c r="M3" s="5">
        <f>'Parámetros'!$B$7*('Parámetros'!$B$8*D3+(1-'Parámetros'!$B$8)*E3)+(1-'Parámetros'!$B$7)*('Parámetros'!$B$9*B3+(1-'Parámetros'!$B$9)*C3)</f>
        <v>55.45696970471003</v>
      </c>
      <c r="N3" s="5">
        <f>'Parámetros'!$B$10*F3+'Parámetros'!$B$11*G3+(1-'Parámetros'!$B$10-'Parámetros'!$B$11)*H3</f>
        <v>69.97723002107467</v>
      </c>
    </row>
    <row r="4" spans="1:14">
      <c r="A4" t="s">
        <v>5</v>
      </c>
      <c r="B4" s="5">
        <f>MAX(0,MIN(100,'Parámetros'!$B$12+'Parámetros'!$B$13*(Datos!B4-Datos!$B$2)))</f>
        <v>64.9023003587576</v>
      </c>
      <c r="C4" s="5">
        <f>MAX(0,MIN(100,'Parámetros'!$B$12+'Parámetros'!$B$13*(Datos!C4-Datos!$C$2)))</f>
        <v>58.14027278716555</v>
      </c>
      <c r="D4" s="5">
        <f>MIN(100,2*'Parámetros'!$B$12*Datos!D4/(Datos!D4+Datos!$D$2))</f>
        <v>96.33495145631068</v>
      </c>
      <c r="E4" s="5">
        <f>MIN(100,2*'Parámetros'!$B$12*Datos!E4/(Datos!E4+Datos!$E$2))</f>
        <v>67.8125</v>
      </c>
      <c r="F4" s="5">
        <f>MIN(100,2*'Parámetros'!$B$12*(Datos!G4/Datos!F4)/(Datos!G4/Datos!F4+Datos!$G$2/Datos!$F$2))</f>
        <v>6.364439954539716</v>
      </c>
      <c r="G4" s="5">
        <f>MIN(100,2*'Parámetros'!$B$12*Datos!H4/(Datos!H4+Datos!$H$2))</f>
        <v>70.72916666666666</v>
      </c>
      <c r="H4" s="5">
        <f>MIN(100,2*'Parámetros'!$B$12*Datos!I4/(Datos!I4+Datos!$I$2))</f>
        <v>60.12651610204935</v>
      </c>
      <c r="I4" s="5">
        <f>MIN(100,2*'Parámetros'!$B$12*Datos!$J$2/(Datos!J4+Datos!$J$2))</f>
        <v>70.0</v>
      </c>
      <c r="J4" s="5">
        <f>MIN(D4,SQRT(D4*I4))</f>
        <v>82.11849123030542</v>
      </c>
      <c r="K4" s="5">
        <f>MAX(0,MIN(100,'Parámetros'!$B$12-'Parámetros'!$B$13*(Datos!K4-Datos!$K$2)))</f>
        <v>80.52790836400187</v>
      </c>
      <c r="L4" s="5">
        <f>MAX(0,MIN(100,'Parámetros'!$B$12+'Parámetros'!$B$14*LN((Datos!L4+Datos!M4)/(Datos!$L$2+Datos!$M$2))))</f>
        <v>55.35639347251311</v>
      </c>
      <c r="M4" s="5">
        <f>'Parámetros'!$B$7*('Parámetros'!$B$8*D4+(1-'Parámetros'!$B$8)*E4)+(1-'Parámetros'!$B$7)*('Parámetros'!$B$9*B4+(1-'Parámetros'!$B$9)*C4)</f>
        <v>82.76955133248974</v>
      </c>
      <c r="N4" s="5">
        <f>'Parámetros'!$B$10*F4+'Parámetros'!$B$11*G4+(1-'Parámetros'!$B$10-'Parámetros'!$B$11)*H4</f>
        <v>42.33261334066155</v>
      </c>
    </row>
    <row r="5" spans="1:14">
      <c r="A5" t="s">
        <v>6</v>
      </c>
      <c r="B5" s="5">
        <f>MAX(0,MIN(100,'Parámetros'!$B$12+'Parámetros'!$B$13*(Datos!B5-Datos!$B$2)))</f>
        <v>57.046840171494665</v>
      </c>
      <c r="C5" s="5">
        <f>MAX(0,MIN(100,'Parámetros'!$B$12+'Parámetros'!$B$13*(Datos!C5-Datos!$C$2)))</f>
        <v>55.779243905338575</v>
      </c>
      <c r="D5" s="5">
        <f>MIN(100,2*'Parámetros'!$B$12*Datos!D5/(Datos!D5+Datos!$D$2))</f>
        <v>93.69369369369369</v>
      </c>
      <c r="E5" s="5">
        <f>MIN(100,2*'Parámetros'!$B$12*Datos!E5/(Datos!E5+Datos!$E$2))</f>
        <v>66.66666666666667</v>
      </c>
      <c r="F5" s="5">
        <f>MIN(100,2*'Parámetros'!$B$12*(Datos!G5/Datos!F5)/(Datos!G5/Datos!F5+Datos!$G$2/Datos!$F$2))</f>
        <v>13.133306034322302</v>
      </c>
      <c r="G5" s="5">
        <f>MIN(100,2*'Parámetros'!$B$12*Datos!H5/(Datos!H5+Datos!$H$2))</f>
        <v>70.0</v>
      </c>
      <c r="H5" s="5">
        <f>MIN(100,2*'Parámetros'!$B$12*Datos!I5/(Datos!I5+Datos!$I$2))</f>
        <v>75.06620702682282</v>
      </c>
      <c r="I5" s="5">
        <f>MIN(100,2*'Parámetros'!$B$12*Datos!$J$2/(Datos!J5+Datos!$J$2))</f>
        <v>58.333333333333336</v>
      </c>
      <c r="J5" s="5">
        <f>MIN(D5,SQRT(D5*I5))</f>
        <v>73.9287864465897</v>
      </c>
      <c r="K5" s="5">
        <f>MAX(0,MIN(100,'Parámetros'!$B$12-'Parámetros'!$B$13*(Datos!K5-Datos!$K$2)))</f>
        <v>59.8472406153746</v>
      </c>
      <c r="L5" s="5">
        <f>MAX(0,MIN(100,'Parámetros'!$B$12+'Parámetros'!$B$14*LN((Datos!L5+Datos!M5)/(Datos!$L$2+Datos!$M$2))))</f>
        <v>41.34317886785284</v>
      </c>
      <c r="M5" s="5">
        <f>'Parámetros'!$B$7*('Parámetros'!$B$8*D5+(1-'Parámetros'!$B$8)*E5)+(1-'Parámetros'!$B$7)*('Parámetros'!$B$9*B5+(1-'Parámetros'!$B$9)*C5)</f>
        <v>78.97744059622089</v>
      </c>
      <c r="N5" s="5">
        <f>'Parámetros'!$B$10*F5+'Parámetros'!$B$11*G5+(1-'Parámetros'!$B$10-'Parámetros'!$B$11)*H5</f>
        <v>48.519874170434626</v>
      </c>
    </row>
    <row r="6" spans="1:14">
      <c r="A6" t="s">
        <v>7</v>
      </c>
      <c r="B6" s="5">
        <f>MAX(0,MIN(100,'Parámetros'!$B$12+'Parámetros'!$B$13*(Datos!B6-Datos!$B$2)))</f>
        <v>58.153867305576014</v>
      </c>
      <c r="C6" s="5">
        <f>MAX(0,MIN(100,'Parámetros'!$B$12+'Parámetros'!$B$13*(Datos!C6-Datos!$C$2)))</f>
        <v>58.16744519528936</v>
      </c>
      <c r="D6" s="5">
        <f>MIN(100,2*'Parámetros'!$B$12*Datos!D6/(Datos!D6+Datos!$D$2))</f>
        <v>93.93085787451983</v>
      </c>
      <c r="E6" s="5">
        <f>MIN(100,2*'Parámetros'!$B$12*Datos!E6/(Datos!E6+Datos!$E$2))</f>
        <v>66.66666666666667</v>
      </c>
      <c r="F6" s="5">
        <f>MIN(100,2*'Parámetros'!$B$12*(Datos!G6/Datos!F6)/(Datos!G6/Datos!F6+Datos!$G$2/Datos!$F$2))</f>
        <v>10.43478260869565</v>
      </c>
      <c r="G6" s="5">
        <f>MIN(100,2*'Parámetros'!$B$12*Datos!H6/(Datos!H6+Datos!$H$2))</f>
        <v>68.1081081081081</v>
      </c>
      <c r="H6" s="5">
        <f>MIN(100,2*'Parámetros'!$B$12*Datos!I6/(Datos!I6+Datos!$I$2))</f>
        <v>75.06620702682282</v>
      </c>
      <c r="I6" s="5">
        <f>MIN(100,2*'Parámetros'!$B$12*Datos!$J$2/(Datos!J6+Datos!$J$2))</f>
        <v>63.63636363636363</v>
      </c>
      <c r="J6" s="5">
        <f>MIN(D6,SQRT(D6*I6))</f>
        <v>77.31376480536008</v>
      </c>
      <c r="K6" s="5">
        <f>MAX(0,MIN(100,'Parámetros'!$B$12-'Parámetros'!$B$13*(Datos!K6-Datos!$K$2)))</f>
        <v>67.67110830793756</v>
      </c>
      <c r="L6" s="5">
        <f>MAX(0,MIN(100,'Parámetros'!$B$12+'Parámetros'!$B$14*LN((Datos!L6+Datos!M6)/(Datos!$L$2+Datos!$M$2))))</f>
        <v>4.507623388500008</v>
      </c>
      <c r="M6" s="5">
        <f>'Parámetros'!$B$7*('Parámetros'!$B$8*D6+(1-'Parámetros'!$B$8)*E6)+(1-'Parámetros'!$B$7)*('Parámetros'!$B$9*B6+(1-'Parámetros'!$B$9)*C6)</f>
        <v>79.63816442529895</v>
      </c>
      <c r="N6" s="5">
        <f>'Parámetros'!$B$10*F6+'Parámetros'!$B$11*G6+(1-'Parámetros'!$B$10-'Parámetros'!$B$11)*H6</f>
        <v>46.7783026380218</v>
      </c>
    </row>
    <row r="7" spans="1:14">
      <c r="A7" t="s">
        <v>8</v>
      </c>
      <c r="B7" s="5">
        <f>MAX(0,MIN(100,'Parámetros'!$B$12+'Parámetros'!$B$13*(Datos!B7-Datos!$B$2)))</f>
        <v>83.82639543534125</v>
      </c>
      <c r="C7" s="5">
        <f>MAX(0,MIN(100,'Parámetros'!$B$12+'Parámetros'!$B$13*(Datos!C7-Datos!$C$2)))</f>
        <v>42.23942420073211</v>
      </c>
      <c r="D7" s="5">
        <f>MIN(100,2*'Parámetros'!$B$12*Datos!D7/(Datos!D7+Datos!$D$2))</f>
        <v>56.13053613053612</v>
      </c>
      <c r="E7" s="5">
        <f>MIN(100,2*'Parámetros'!$B$12*Datos!E7/(Datos!E7+Datos!$E$2))</f>
        <v>68.92307692307692</v>
      </c>
      <c r="F7" s="5">
        <f>MIN(100,2*'Parámetros'!$B$12*(Datos!G7/Datos!F7)/(Datos!G7/Datos!F7+Datos!$G$2/Datos!$F$2))</f>
        <v>15.537971431507556</v>
      </c>
      <c r="G7" s="5">
        <f>MIN(100,2*'Parámetros'!$B$12*Datos!H7/(Datos!H7+Datos!$H$2))</f>
        <v>66.11111111111111</v>
      </c>
      <c r="H7" s="5">
        <f>MIN(100,2*'Parámetros'!$B$12*Datos!I7/(Datos!I7+Datos!$I$2))</f>
        <v>62.14577305695374</v>
      </c>
      <c r="I7" s="5">
        <f>MIN(100,2*'Parámetros'!$B$12*Datos!$J$2/(Datos!J7+Datos!$J$2))</f>
        <v>93.33333333333333</v>
      </c>
      <c r="J7" s="5">
        <f>MIN(D7,SQRT(D7*I7))</f>
        <v>56.13053613053612</v>
      </c>
      <c r="K7" s="5">
        <f>MAX(0,MIN(100,'Parámetros'!$B$12-'Parámetros'!$B$13*(Datos!K7-Datos!$K$2)))</f>
        <v>43.15792748035658</v>
      </c>
      <c r="L7" s="5">
        <f>MAX(0,MIN(100,'Parámetros'!$B$12+'Parámetros'!$B$14*LN((Datos!L7+Datos!M7)/(Datos!$L$2+Datos!$M$2))))</f>
        <v>20.89588555274124</v>
      </c>
      <c r="M7" s="5">
        <f>'Parámetros'!$B$7*('Parámetros'!$B$8*D7+(1-'Parámetros'!$B$8)*E7)+(1-'Parámetros'!$B$7)*('Parámetros'!$B$9*B7+(1-'Parámetros'!$B$9)*C7)</f>
        <v>62.288970059099114</v>
      </c>
      <c r="N7" s="5">
        <f>'Parámetros'!$B$10*F7+'Parámetros'!$B$11*G7+(1-'Parámetros'!$B$10-'Parámetros'!$B$11)*H7</f>
        <v>44.89052072573035</v>
      </c>
    </row>
    <row r="8" spans="1:14">
      <c r="A8" t="s">
        <v>9</v>
      </c>
      <c r="B8" s="5">
        <f>MAX(0,MIN(100,'Parámetros'!$B$12+'Parámetros'!$B$13*(Datos!B8-Datos!$B$2)))</f>
        <v>58.14554483489262</v>
      </c>
      <c r="C8" s="5">
        <f>MAX(0,MIN(100,'Parámetros'!$B$12+'Parámetros'!$B$13*(Datos!C8-Datos!$C$2)))</f>
        <v>69.55931217033664</v>
      </c>
      <c r="D8" s="5">
        <f>MIN(100,2*'Parámetros'!$B$12*Datos!D8/(Datos!D8+Datos!$D$2))</f>
        <v>89.53716690042076</v>
      </c>
      <c r="E8" s="5">
        <f>MIN(100,2*'Parámetros'!$B$12*Datos!E8/(Datos!E8+Datos!$E$2))</f>
        <v>66.66666666666667</v>
      </c>
      <c r="F8" s="5">
        <f>MIN(100,2*'Parámetros'!$B$12*(Datos!G8/Datos!F8)/(Datos!G8/Datos!F8+Datos!$G$2/Datos!$F$2))</f>
        <v>4.821428571428572</v>
      </c>
      <c r="G8" s="5">
        <f>MIN(100,2*'Parámetros'!$B$12*Datos!H8/(Datos!H8+Datos!$H$2))</f>
        <v>70.72916666666666</v>
      </c>
      <c r="H8" s="5">
        <f>MIN(100,2*'Parámetros'!$B$12*Datos!I8/(Datos!I8+Datos!$I$2))</f>
        <v>59.30717588788996</v>
      </c>
      <c r="I8" s="5">
        <f>MIN(100,2*'Parámetros'!$B$12*Datos!$J$2/(Datos!J8+Datos!$J$2))</f>
        <v>56.0</v>
      </c>
      <c r="J8" s="5">
        <f>MIN(D8,SQRT(D8*I8))</f>
        <v>70.8101782685481</v>
      </c>
      <c r="K8" s="5">
        <f>MAX(0,MIN(100,'Parámetros'!$B$12-'Parámetros'!$B$13*(Datos!K8-Datos!$K$2)))</f>
        <v>46.14147944413282</v>
      </c>
      <c r="L8" s="5">
        <f>MAX(0,MIN(100,'Parámetros'!$B$12+'Parámetros'!$B$14*LN((Datos!L8+Datos!M8)/(Datos!$L$2+Datos!$M$2))))</f>
        <v>94.93598714560085</v>
      </c>
      <c r="M8" s="5">
        <f>'Parámetros'!$B$7*('Parámetros'!$B$8*D8+(1-'Parámetros'!$B$8)*E8)+(1-'Parámetros'!$B$7)*('Parámetros'!$B$9*B8+(1-'Parámetros'!$B$9)*C8)</f>
        <v>78.26196223251353</v>
      </c>
      <c r="N8" s="5">
        <f>'Parámetros'!$B$10*F8+'Parámetros'!$B$11*G8+(1-'Parámetros'!$B$10-'Parámetros'!$B$11)*H8</f>
        <v>41.51057373387725</v>
      </c>
    </row>
    <row r="9" spans="1:14">
      <c r="A9" t="s">
        <v>10</v>
      </c>
      <c r="B9" s="5">
        <f>MAX(0,MIN(100,'Parámetros'!$B$12+'Parámetros'!$B$13*(Datos!B9-Datos!$B$2)))</f>
        <v>56.924065320204484</v>
      </c>
      <c r="C9" s="5">
        <f>MAX(0,MIN(100,'Parámetros'!$B$12+'Parámetros'!$B$13*(Datos!C9-Datos!$C$2)))</f>
        <v>63.245314480214866</v>
      </c>
      <c r="D9" s="5">
        <f>MIN(100,2*'Parámetros'!$B$12*Datos!D9/(Datos!D9+Datos!$D$2))</f>
        <v>88.30459770114942</v>
      </c>
      <c r="E9" s="5">
        <f>MIN(100,2*'Parámetros'!$B$12*Datos!E9/(Datos!E9+Datos!$E$2))</f>
        <v>67.8125</v>
      </c>
      <c r="F9" s="5">
        <f>MIN(100,2*'Parámetros'!$B$12*(Datos!G9/Datos!F9)/(Datos!G9/Datos!F9+Datos!$G$2/Datos!$F$2))</f>
        <v>13.993003498250873</v>
      </c>
      <c r="G9" s="5">
        <f>MIN(100,2*'Parámetros'!$B$12*Datos!H9/(Datos!H9+Datos!$H$2))</f>
        <v>64.85875706214689</v>
      </c>
      <c r="H9" s="5">
        <f>MIN(100,2*'Parámetros'!$B$12*Datos!I9/(Datos!I9+Datos!$I$2))</f>
        <v>63.045091531836064</v>
      </c>
      <c r="I9" s="5">
        <f>MIN(100,2*'Parámetros'!$B$12*Datos!$J$2/(Datos!J9+Datos!$J$2))</f>
        <v>66.66666666666667</v>
      </c>
      <c r="J9" s="5">
        <f>MIN(D9,SQRT(D9*I9))</f>
        <v>76.7266132451878</v>
      </c>
      <c r="K9" s="5">
        <f>MAX(0,MIN(100,'Parámetros'!$B$12-'Parámetros'!$B$13*(Datos!K9-Datos!$K$2)))</f>
        <v>69.53689913622902</v>
      </c>
      <c r="L9" s="5">
        <f>MAX(0,MIN(100,'Parámetros'!$B$12+'Parámetros'!$B$14*LN((Datos!L9+Datos!M9)/(Datos!$L$2+Datos!$M$2))))</f>
        <v>76.30811875978705</v>
      </c>
      <c r="M9" s="5">
        <f>'Parámetros'!$B$7*('Parámetros'!$B$8*D9+(1-'Parámetros'!$B$8)*E9)+(1-'Parámetros'!$B$7)*('Parámetros'!$B$9*B9+(1-'Parámetros'!$B$9)*C9)</f>
        <v>76.65315617904507</v>
      </c>
      <c r="N9" s="5">
        <f>'Parámetros'!$B$10*F9+'Parámetros'!$B$11*G9+(1-'Parámetros'!$B$10-'Parámetros'!$B$11)*H9</f>
        <v>44.05903925401078</v>
      </c>
    </row>
    <row r="10" spans="1:14">
      <c r="A10" t="s">
        <v>11</v>
      </c>
      <c r="B10" s="5">
        <f>MAX(0,MIN(100,'Parámetros'!$B$12+'Parámetros'!$B$13*(Datos!B10-Datos!$B$2)))</f>
        <v>56.94016150584029</v>
      </c>
      <c r="C10" s="5">
        <f>MAX(0,MIN(100,'Parámetros'!$B$12+'Parámetros'!$B$13*(Datos!C10-Datos!$C$2)))</f>
        <v>70.92312412024135</v>
      </c>
      <c r="D10" s="5">
        <f>MIN(100,2*'Parámetros'!$B$12*Datos!D10/(Datos!D10+Datos!$D$2))</f>
        <v>38.647887323943664</v>
      </c>
      <c r="E10" s="5">
        <f>MIN(100,2*'Parámetros'!$B$12*Datos!E10/(Datos!E10+Datos!$E$2))</f>
        <v>70.0</v>
      </c>
      <c r="F10" s="5">
        <f>MIN(100,2*'Parámetros'!$B$12*(Datos!G10/Datos!F10)/(Datos!G10/Datos!F10+Datos!$G$2/Datos!$F$2))</f>
        <v>68.29268292682929</v>
      </c>
      <c r="G10" s="5">
        <f>MIN(100,2*'Parámetros'!$B$12*Datos!H10/(Datos!H10+Datos!$H$2))</f>
        <v>70.72916666666666</v>
      </c>
      <c r="H10" s="5">
        <f>MIN(100,2*'Parámetros'!$B$12*Datos!I10/(Datos!I10+Datos!$I$2))</f>
        <v>84.95951133402448</v>
      </c>
      <c r="I10" s="5">
        <f>MIN(100,2*'Parámetros'!$B$12*Datos!$J$2/(Datos!J10+Datos!$J$2))</f>
        <v>87.5</v>
      </c>
      <c r="J10" s="5">
        <f>MIN(D10,SQRT(D10*I10))</f>
        <v>38.647887323943664</v>
      </c>
      <c r="K10" s="5">
        <f>MAX(0,MIN(100,'Parámetros'!$B$12-'Parámetros'!$B$13*(Datos!K10-Datos!$K$2)))</f>
        <v>68.86620738231932</v>
      </c>
      <c r="L10" s="5">
        <f>MAX(0,MIN(100,'Parámetros'!$B$12+'Parámetros'!$B$14*LN((Datos!L10+Datos!M10)/(Datos!$L$2+Datos!$M$2))))</f>
        <v>0</v>
      </c>
      <c r="M10" s="5">
        <f>'Parámetros'!$B$7*('Parámetros'!$B$8*D10+(1-'Parámetros'!$B$8)*E10)+(1-'Parámetros'!$B$7)*('Parámetros'!$B$9*B10+(1-'Parámetros'!$B$9)*C10)</f>
        <v>48.55628168606326</v>
      </c>
      <c r="N10" s="5">
        <f>'Parámetros'!$B$10*F10+'Parámetros'!$B$11*G10+(1-'Parámetros'!$B$10-'Parámetros'!$B$11)*H10</f>
        <v>73.31215933757116</v>
      </c>
    </row>
    <row r="11" spans="1:14">
      <c r="A11" t="s">
        <v>12</v>
      </c>
      <c r="B11" s="5">
        <f>MAX(0,MIN(100,'Parámetros'!$B$12+'Parámetros'!$B$13*(Datos!B11-Datos!$B$2)))</f>
        <v>59.61582361796484</v>
      </c>
      <c r="C11" s="5">
        <f>MAX(0,MIN(100,'Parámetros'!$B$12+'Parámetros'!$B$13*(Datos!C11-Datos!$C$2)))</f>
        <v>59.97851484491805</v>
      </c>
      <c r="D11" s="5">
        <f>MIN(100,2*'Parámetros'!$B$12*Datos!D11/(Datos!D11+Datos!$D$2))</f>
        <v>86.61721068249258</v>
      </c>
      <c r="E11" s="5">
        <f>MIN(100,2*'Parámetros'!$B$12*Datos!E11/(Datos!E11+Datos!$E$2))</f>
        <v>66.66666666666667</v>
      </c>
      <c r="F11" s="5">
        <f>MIN(100,2*'Parámetros'!$B$12*(Datos!G11/Datos!F11)/(Datos!G11/Datos!F11+Datos!$G$2/Datos!$F$2))</f>
        <v>14.225232853513972</v>
      </c>
      <c r="G11" s="5">
        <f>MIN(100,2*'Parámetros'!$B$12*Datos!H11/(Datos!H11+Datos!$H$2))</f>
        <v>68.1081081081081</v>
      </c>
      <c r="H11" s="5">
        <f>MIN(100,2*'Parámetros'!$B$12*Datos!I11/(Datos!I11+Datos!$I$2))</f>
        <v>51.85992846428983</v>
      </c>
      <c r="I11" s="5">
        <f>MIN(100,2*'Parámetros'!$B$12*Datos!$J$2/(Datos!J11+Datos!$J$2))</f>
        <v>70.0</v>
      </c>
      <c r="J11" s="5">
        <f>MIN(D11,SQRT(D11*I11))</f>
        <v>77.86658299793616</v>
      </c>
      <c r="K11" s="5">
        <f>MAX(0,MIN(100,'Parámetros'!$B$12-'Parámetros'!$B$13*(Datos!K11-Datos!$K$2)))</f>
        <v>42.67134611456102</v>
      </c>
      <c r="L11" s="5">
        <f>MAX(0,MIN(100,'Parámetros'!$B$12+'Parámetros'!$B$14*LN((Datos!L11+Datos!M11)/(Datos!$L$2+Datos!$M$2))))</f>
        <v>57.299742685546136</v>
      </c>
      <c r="M11" s="5">
        <f>'Parámetros'!$B$7*('Parámetros'!$B$8*D11+(1-'Parámetros'!$B$8)*E11)+(1-'Parámetros'!$B$7)*('Parámetros'!$B$9*B11+(1-'Parámetros'!$B$9)*C11)</f>
        <v>75.90802242770928</v>
      </c>
      <c r="N11" s="5">
        <f>'Parámetros'!$B$10*F11+'Parámetros'!$B$11*G11+(1-'Parámetros'!$B$10-'Parámetros'!$B$11)*H11</f>
        <v>42.49291309531588</v>
      </c>
    </row>
    <row r="12" spans="1:14">
      <c r="A12" t="s">
        <v>13</v>
      </c>
      <c r="B12" s="5">
        <f>MAX(0,MIN(100,'Parámetros'!$B$12+'Parámetros'!$B$13*(Datos!B12-Datos!$B$2)))</f>
        <v>25.75853454363017</v>
      </c>
      <c r="C12" s="5">
        <f>MAX(0,MIN(100,'Parámetros'!$B$12+'Parámetros'!$B$13*(Datos!C12-Datos!$C$2)))</f>
        <v>36.140228734410144</v>
      </c>
      <c r="D12" s="5">
        <f>MIN(100,2*'Parámetros'!$B$12*Datos!D12/(Datos!D12+Datos!$D$2))</f>
        <v>73.24675324675324</v>
      </c>
      <c r="E12" s="5">
        <f>MIN(100,2*'Parámetros'!$B$12*Datos!E12/(Datos!E12+Datos!$E$2))</f>
        <v>68.92307692307692</v>
      </c>
      <c r="F12" s="5">
        <f>MIN(100,2*'Parámetros'!$B$12*(Datos!G12/Datos!F12)/(Datos!G12/Datos!F12+Datos!$G$2/Datos!$F$2))</f>
        <v>4.363636363636364</v>
      </c>
      <c r="G12" s="5">
        <f>MIN(100,2*'Parámetros'!$B$12*Datos!H12/(Datos!H12+Datos!$H$2))</f>
        <v>66.11111111111111</v>
      </c>
      <c r="H12" s="5">
        <f>MIN(100,2*'Parámetros'!$B$12*Datos!I12/(Datos!I12+Datos!$I$2))</f>
        <v>65.15903944962119</v>
      </c>
      <c r="I12" s="5">
        <f>MIN(100,2*'Parámetros'!$B$12*Datos!$J$2/(Datos!J12+Datos!$J$2))</f>
        <v>100</v>
      </c>
      <c r="J12" s="5">
        <f>MIN(D12,SQRT(D12*I12))</f>
        <v>73.24675324675324</v>
      </c>
      <c r="K12" s="5">
        <f>MAX(0,MIN(100,'Parámetros'!$B$12-'Parámetros'!$B$13*(Datos!K12-Datos!$K$2)))</f>
        <v>81.78335026191445</v>
      </c>
      <c r="L12" s="5">
        <f>MAX(0,MIN(100,'Parámetros'!$B$12+'Parámetros'!$B$14*LN((Datos!L12+Datos!M12)/(Datos!$L$2+Datos!$M$2))))</f>
        <v>0</v>
      </c>
      <c r="M12" s="5">
        <f>'Parámetros'!$B$7*('Parámetros'!$B$8*D12+(1-'Parámetros'!$B$8)*E12)+(1-'Parámetros'!$B$7)*('Parámetros'!$B$9*B12+(1-'Parámetros'!$B$9)*C12)</f>
        <v>57.434915629653105</v>
      </c>
      <c r="N12" s="5">
        <f>'Parámetros'!$B$10*F12+'Parámetros'!$B$11*G12+(1-'Parámetros'!$B$10-'Parámetros'!$B$11)*H12</f>
        <v>41.17410329674873</v>
      </c>
    </row>
    <row r="13" spans="1:14">
      <c r="A13" t="s">
        <v>14</v>
      </c>
      <c r="B13" s="5">
        <f>MAX(0,MIN(100,'Parámetros'!$B$12+'Parámetros'!$B$13*(Datos!B13-Datos!$B$2)))</f>
        <v>58.66937673452644</v>
      </c>
      <c r="C13" s="5">
        <f>MAX(0,MIN(100,'Parámetros'!$B$12+'Parámetros'!$B$13*(Datos!C13-Datos!$C$2)))</f>
        <v>65.2821323349672</v>
      </c>
      <c r="D13" s="5">
        <f>MIN(100,2*'Parámetros'!$B$12*Datos!D13/(Datos!D13+Datos!$D$2))</f>
        <v>79.83277591973244</v>
      </c>
      <c r="E13" s="5">
        <f>MIN(100,2*'Parámetros'!$B$12*Datos!E13/(Datos!E13+Datos!$E$2))</f>
        <v>67.8125</v>
      </c>
      <c r="F13" s="5">
        <f>MIN(100,2*'Parámetros'!$B$12*(Datos!G13/Datos!F13)/(Datos!G13/Datos!F13+Datos!$G$2/Datos!$F$2))</f>
        <v>6.8108108108108105</v>
      </c>
      <c r="G13" s="5">
        <f>MIN(100,2*'Parámetros'!$B$12*Datos!H13/(Datos!H13+Datos!$H$2))</f>
        <v>66.11111111111111</v>
      </c>
      <c r="H13" s="5">
        <f>MIN(100,2*'Parámetros'!$B$12*Datos!I13/(Datos!I13+Datos!$I$2))</f>
        <v>59.58042612423457</v>
      </c>
      <c r="I13" s="5">
        <f>MIN(100,2*'Parámetros'!$B$12*Datos!$J$2/(Datos!J13+Datos!$J$2))</f>
        <v>60.869565217391305</v>
      </c>
      <c r="J13" s="5">
        <f>MIN(D13,SQRT(D13*I13))</f>
        <v>69.70929895165737</v>
      </c>
      <c r="K13" s="5">
        <f>MAX(0,MIN(100,'Parámetros'!$B$12-'Parámetros'!$B$13*(Datos!K13-Datos!$K$2)))</f>
        <v>60.05720615518553</v>
      </c>
      <c r="L13" s="5">
        <f>MAX(0,MIN(100,'Parámetros'!$B$12+'Parámetros'!$B$14*LN((Datos!L13+Datos!M13)/(Datos!$L$2+Datos!$M$2))))</f>
        <v>36.15785702611612</v>
      </c>
      <c r="M13" s="5">
        <f>'Parámetros'!$B$7*('Parámetros'!$B$8*D13+(1-'Parámetros'!$B$8)*E13)+(1-'Parámetros'!$B$7)*('Parámetros'!$B$9*B13+(1-'Parámetros'!$B$9)*C13)</f>
        <v>72.33860760817402</v>
      </c>
      <c r="N13" s="5">
        <f>'Parámetros'!$B$10*F13+'Parámetros'!$B$11*G13+(1-'Parámetros'!$B$10-'Parámetros'!$B$11)*H13</f>
        <v>40.75831974427186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9.7109375" customWidth="1"/>
    <col min="2" max="8" width="19.7109375" customWidth="1"/>
    <col min="9" max="11" width="45.7109375" customWidth="1"/>
  </cols>
  <sheetData>
    <row r="1" spans="1:11" ht="45" customHeight="1">
      <c r="A1" s="1" t="s">
        <v>57</v>
      </c>
      <c r="B1" s="1" t="s">
        <v>307</v>
      </c>
      <c r="C1" s="1" t="s">
        <v>308</v>
      </c>
      <c r="D1" s="1" t="s">
        <v>309</v>
      </c>
      <c r="E1" s="1" t="s">
        <v>310</v>
      </c>
      <c r="F1" s="1" t="s">
        <v>311</v>
      </c>
      <c r="G1" s="1" t="s">
        <v>312</v>
      </c>
      <c r="H1" s="1" t="s">
        <v>313</v>
      </c>
      <c r="I1" s="1" t="s">
        <v>314</v>
      </c>
      <c r="J1" s="1" t="s">
        <v>255</v>
      </c>
      <c r="K1" s="1" t="s">
        <v>315</v>
      </c>
    </row>
    <row r="2" spans="1:11">
      <c r="A2" t="s">
        <v>3</v>
      </c>
      <c r="B2" s="5">
        <f>Puntajes!M2</f>
        <v>70.0</v>
      </c>
      <c r="C2" s="5">
        <f>Puntajes!N2</f>
        <v>70.0</v>
      </c>
      <c r="D2" s="5">
        <f>Puntajes!J2</f>
        <v>70.0</v>
      </c>
      <c r="E2" s="5">
        <f>Puntajes!K2</f>
        <v>70.0</v>
      </c>
      <c r="F2" s="5">
        <f>Puntajes!L2</f>
        <v>70.0</v>
      </c>
      <c r="G2" s="5">
        <f>B2*'Parámetros'!$B$2+C2*'Parámetros'!$B$3+D2*'Parámetros'!$B$4+E2*'Parámetros'!$B$5+F2*'Parámetros'!$B$6</f>
        <v>70.0</v>
      </c>
      <c r="H2" s="5">
        <f>G2-$G$2</f>
        <v>0.0</v>
      </c>
      <c r="I2" t="str">
        <f>IF(G2&gt;='Parámetros'!$B$15,"Superior a referencia",IF(G2&gt;='Parámetros'!$B$16,"Cercano a referencia",IF(G2&gt;='Parámetros'!$B$17,"Inferior: requiere ajustes","Rezago importante")))</f>
        <v>Cercano a referencia</v>
      </c>
      <c r="J2" t="str">
        <f>IF(AND(Datos!D2&gt;=Datos!$D$2*'Parámetros'!$B$18,Datos!J2&lt;=Datos!$J$2*'Parámetros'!$B$19,C2&gt;='Parámetros'!$B$20,E2&gt;='Parámetros'!$B$20),"Oportunidad prioritaria condicionada",IF(Datos!D2&gt;=Datos!$D$2,IF(Datos!J2&gt;Datos!$J$2,"Demanda alta / competencia alta","Demanda alta / competencia baja o igual"),IF(Datos!J2&gt;Datos!$J$2,"Demanda baja / competencia alta","Demanda baja / competencia baja o igual")))</f>
        <v>Demanda alta / competencia baja o igual</v>
      </c>
      <c r="K2" t="s">
        <v>316</v>
      </c>
    </row>
    <row r="3" spans="1:11">
      <c r="A3" t="s">
        <v>4</v>
      </c>
      <c r="B3" s="5">
        <f>Puntajes!M3</f>
        <v>55.45696970471003</v>
      </c>
      <c r="C3" s="5">
        <f>Puntajes!N3</f>
        <v>69.97723002107467</v>
      </c>
      <c r="D3" s="5">
        <f>Puntajes!J3</f>
        <v>46.54545454545455</v>
      </c>
      <c r="E3" s="5">
        <f>Puntajes!K3</f>
        <v>20.87227227364027</v>
      </c>
      <c r="F3" s="5">
        <f>Puntajes!L3</f>
        <v>59.79875575126476</v>
      </c>
      <c r="G3" s="5">
        <f>B3*'Parámetros'!$B$2+C3*'Parámetros'!$B$3+D3*'Parámetros'!$B$4+E3*'Parámetros'!$B$5+F3*'Parámetros'!$B$6</f>
        <v>52.35338192171473</v>
      </c>
      <c r="H3" s="5">
        <f>G3-$G$2</f>
        <v>-17.64661807828527</v>
      </c>
      <c r="I3" t="str">
        <f>IF(G3&gt;='Parámetros'!$B$15,"Superior a referencia",IF(G3&gt;='Parámetros'!$B$16,"Cercano a referencia",IF(G3&gt;='Parámetros'!$B$17,"Inferior: requiere ajustes","Rezago importante")))</f>
        <v>Inferior: requiere ajustes</v>
      </c>
      <c r="J3" t="str">
        <f>IF(AND(Datos!D3&gt;=Datos!$D$2*'Parámetros'!$B$18,Datos!J3&lt;=Datos!$J$2*'Parámetros'!$B$19,C3&gt;='Parámetros'!$B$20,E3&gt;='Parámetros'!$B$20),"Oportunidad prioritaria condicionada",IF(Datos!D3&gt;=Datos!$D$2,IF(Datos!J3&gt;Datos!$J$2,"Demanda alta / competencia alta","Demanda alta / competencia baja o igual"),IF(Datos!J3&gt;Datos!$J$2,"Demanda baja / competencia alta","Demanda baja / competencia baja o igual")))</f>
        <v>Demanda baja / competencia baja o igual</v>
      </c>
      <c r="K3" t="s">
        <v>316</v>
      </c>
    </row>
    <row r="4" spans="1:11">
      <c r="A4" t="s">
        <v>5</v>
      </c>
      <c r="B4" s="5">
        <f>Puntajes!M4</f>
        <v>82.76955133248974</v>
      </c>
      <c r="C4" s="5">
        <f>Puntajes!N4</f>
        <v>42.33261334066155</v>
      </c>
      <c r="D4" s="5">
        <f>Puntajes!J4</f>
        <v>82.11849123030542</v>
      </c>
      <c r="E4" s="5">
        <f>Puntajes!K4</f>
        <v>80.52790836400187</v>
      </c>
      <c r="F4" s="5">
        <f>Puntajes!L4</f>
        <v>55.35639347251311</v>
      </c>
      <c r="G4" s="5">
        <f>B4*'Parámetros'!$B$2+C4*'Parámetros'!$B$3+D4*'Parámetros'!$B$4+E4*'Parámetros'!$B$5+F4*'Parámetros'!$B$6</f>
        <v>71.22907836065926</v>
      </c>
      <c r="H4" s="5">
        <f>G4-$G$2</f>
        <v>1.2290783606592584</v>
      </c>
      <c r="I4" t="str">
        <f>IF(G4&gt;='Parámetros'!$B$15,"Superior a referencia",IF(G4&gt;='Parámetros'!$B$16,"Cercano a referencia",IF(G4&gt;='Parámetros'!$B$17,"Inferior: requiere ajustes","Rezago importante")))</f>
        <v>Cercano a referencia</v>
      </c>
      <c r="J4" t="str">
        <f>IF(AND(Datos!D4&gt;=Datos!$D$2*'Parámetros'!$B$18,Datos!J4&lt;=Datos!$J$2*'Parámetros'!$B$19,C4&gt;='Parámetros'!$B$20,E4&gt;='Parámetros'!$B$20),"Oportunidad prioritaria condicionada",IF(Datos!D4&gt;=Datos!$D$2,IF(Datos!J4&gt;Datos!$J$2,"Demanda alta / competencia alta","Demanda alta / competencia baja o igual"),IF(Datos!J4&gt;Datos!$J$2,"Demanda baja / competencia alta","Demanda baja / competencia baja o igual")))</f>
        <v>Demanda alta / competencia baja o igual</v>
      </c>
      <c r="K4" t="s">
        <v>316</v>
      </c>
    </row>
    <row r="5" spans="1:11">
      <c r="A5" t="s">
        <v>6</v>
      </c>
      <c r="B5" s="5">
        <f>Puntajes!M5</f>
        <v>78.97744059622089</v>
      </c>
      <c r="C5" s="5">
        <f>Puntajes!N5</f>
        <v>48.519874170434626</v>
      </c>
      <c r="D5" s="5">
        <f>Puntajes!J5</f>
        <v>73.9287864465897</v>
      </c>
      <c r="E5" s="5">
        <f>Puntajes!K5</f>
        <v>59.8472406153746</v>
      </c>
      <c r="F5" s="5">
        <f>Puntajes!L5</f>
        <v>41.34317886785284</v>
      </c>
      <c r="G5" s="5">
        <f>B5*'Parámetros'!$B$2+C5*'Parámetros'!$B$3+D5*'Parámetros'!$B$4+E5*'Parámetros'!$B$5+F5*'Parámetros'!$B$6</f>
        <v>65.55678788468018</v>
      </c>
      <c r="H5" s="5">
        <f>G5-$G$2</f>
        <v>-4.443212115319824</v>
      </c>
      <c r="I5" t="str">
        <f>IF(G5&gt;='Parámetros'!$B$15,"Superior a referencia",IF(G5&gt;='Parámetros'!$B$16,"Cercano a referencia",IF(G5&gt;='Parámetros'!$B$17,"Inferior: requiere ajustes","Rezago importante")))</f>
        <v>Cercano a referencia</v>
      </c>
      <c r="J5" t="str">
        <f>IF(AND(Datos!D5&gt;=Datos!$D$2*'Parámetros'!$B$18,Datos!J5&lt;=Datos!$J$2*'Parámetros'!$B$19,C5&gt;='Parámetros'!$B$20,E5&gt;='Parámetros'!$B$20),"Oportunidad prioritaria condicionada",IF(Datos!D5&gt;=Datos!$D$2,IF(Datos!J5&gt;Datos!$J$2,"Demanda alta / competencia alta","Demanda alta / competencia baja o igual"),IF(Datos!J5&gt;Datos!$J$2,"Demanda baja / competencia alta","Demanda baja / competencia baja o igual")))</f>
        <v>Demanda alta / competencia alta</v>
      </c>
      <c r="K5" t="s">
        <v>316</v>
      </c>
    </row>
    <row r="6" spans="1:11">
      <c r="A6" t="s">
        <v>7</v>
      </c>
      <c r="B6" s="5">
        <f>Puntajes!M6</f>
        <v>79.63816442529895</v>
      </c>
      <c r="C6" s="5">
        <f>Puntajes!N6</f>
        <v>46.7783026380218</v>
      </c>
      <c r="D6" s="5">
        <f>Puntajes!J6</f>
        <v>77.31376480536008</v>
      </c>
      <c r="E6" s="5">
        <f>Puntajes!K6</f>
        <v>67.67110830793756</v>
      </c>
      <c r="F6" s="5">
        <f>Puntajes!L6</f>
        <v>4.507623388500008</v>
      </c>
      <c r="G6" s="5">
        <f>B6*'Parámetros'!$B$2+C6*'Parámetros'!$B$3+D6*'Parámetros'!$B$4+E6*'Parámetros'!$B$5+F6*'Parámetros'!$B$6</f>
        <v>64.31167292148781</v>
      </c>
      <c r="H6" s="5">
        <f>G6-$G$2</f>
        <v>-5.688327078512188</v>
      </c>
      <c r="I6" t="str">
        <f>IF(G6&gt;='Parámetros'!$B$15,"Superior a referencia",IF(G6&gt;='Parámetros'!$B$16,"Cercano a referencia",IF(G6&gt;='Parámetros'!$B$17,"Inferior: requiere ajustes","Rezago importante")))</f>
        <v>Inferior: requiere ajustes</v>
      </c>
      <c r="J6" t="str">
        <f>IF(AND(Datos!D6&gt;=Datos!$D$2*'Parámetros'!$B$18,Datos!J6&lt;=Datos!$J$2*'Parámetros'!$B$19,C6&gt;='Parámetros'!$B$20,E6&gt;='Parámetros'!$B$20),"Oportunidad prioritaria condicionada",IF(Datos!D6&gt;=Datos!$D$2,IF(Datos!J6&gt;Datos!$J$2,"Demanda alta / competencia alta","Demanda alta / competencia baja o igual"),IF(Datos!J6&gt;Datos!$J$2,"Demanda baja / competencia alta","Demanda baja / competencia baja o igual")))</f>
        <v>Demanda alta / competencia alta</v>
      </c>
      <c r="K6" t="s">
        <v>316</v>
      </c>
    </row>
    <row r="7" spans="1:11">
      <c r="A7" t="s">
        <v>8</v>
      </c>
      <c r="B7" s="5">
        <f>Puntajes!M7</f>
        <v>62.288970059099114</v>
      </c>
      <c r="C7" s="5">
        <f>Puntajes!N7</f>
        <v>44.89052072573035</v>
      </c>
      <c r="D7" s="5">
        <f>Puntajes!J7</f>
        <v>56.13053613053612</v>
      </c>
      <c r="E7" s="5">
        <f>Puntajes!K7</f>
        <v>43.15792748035658</v>
      </c>
      <c r="F7" s="5">
        <f>Puntajes!L7</f>
        <v>20.89588555274124</v>
      </c>
      <c r="G7" s="5">
        <f>B7*'Parámetros'!$B$2+C7*'Parámetros'!$B$3+D7*'Parámetros'!$B$4+E7*'Parámetros'!$B$5+F7*'Parámetros'!$B$6</f>
        <v>51.129777835802614</v>
      </c>
      <c r="H7" s="5">
        <f>G7-$G$2</f>
        <v>-18.870222164197386</v>
      </c>
      <c r="I7" t="str">
        <f>IF(G7&gt;='Parámetros'!$B$15,"Superior a referencia",IF(G7&gt;='Parámetros'!$B$16,"Cercano a referencia",IF(G7&gt;='Parámetros'!$B$17,"Inferior: requiere ajustes","Rezago importante")))</f>
        <v>Inferior: requiere ajustes</v>
      </c>
      <c r="J7" t="str">
        <f>IF(AND(Datos!D7&gt;=Datos!$D$2*'Parámetros'!$B$18,Datos!J7&lt;=Datos!$J$2*'Parámetros'!$B$19,C7&gt;='Parámetros'!$B$20,E7&gt;='Parámetros'!$B$20),"Oportunidad prioritaria condicionada",IF(Datos!D7&gt;=Datos!$D$2,IF(Datos!J7&gt;Datos!$J$2,"Demanda alta / competencia alta","Demanda alta / competencia baja o igual"),IF(Datos!J7&gt;Datos!$J$2,"Demanda baja / competencia alta","Demanda baja / competencia baja o igual")))</f>
        <v>Demanda baja / competencia baja o igual</v>
      </c>
      <c r="K7" t="s">
        <v>316</v>
      </c>
    </row>
    <row r="8" spans="1:11">
      <c r="A8" t="s">
        <v>9</v>
      </c>
      <c r="B8" s="5">
        <f>Puntajes!M8</f>
        <v>78.26196223251353</v>
      </c>
      <c r="C8" s="5">
        <f>Puntajes!N8</f>
        <v>41.51057373387725</v>
      </c>
      <c r="D8" s="5">
        <f>Puntajes!J8</f>
        <v>70.8101782685481</v>
      </c>
      <c r="E8" s="5">
        <f>Puntajes!K8</f>
        <v>46.14147944413282</v>
      </c>
      <c r="F8" s="5">
        <f>Puntajes!L8</f>
        <v>94.93598714560085</v>
      </c>
      <c r="G8" s="5">
        <f>B8*'Parámetros'!$B$2+C8*'Parámetros'!$B$3+D8*'Parámetros'!$B$4+E8*'Parámetros'!$B$5+F8*'Parámetros'!$B$6</f>
        <v>65.56962131134453</v>
      </c>
      <c r="H8" s="5">
        <f>G8-$G$2</f>
        <v>-4.430378688655466</v>
      </c>
      <c r="I8" t="str">
        <f>IF(G8&gt;='Parámetros'!$B$15,"Superior a referencia",IF(G8&gt;='Parámetros'!$B$16,"Cercano a referencia",IF(G8&gt;='Parámetros'!$B$17,"Inferior: requiere ajustes","Rezago importante")))</f>
        <v>Cercano a referencia</v>
      </c>
      <c r="J8" t="str">
        <f>IF(AND(Datos!D8&gt;=Datos!$D$2*'Parámetros'!$B$18,Datos!J8&lt;=Datos!$J$2*'Parámetros'!$B$19,C8&gt;='Parámetros'!$B$20,E8&gt;='Parámetros'!$B$20),"Oportunidad prioritaria condicionada",IF(Datos!D8&gt;=Datos!$D$2,IF(Datos!J8&gt;Datos!$J$2,"Demanda alta / competencia alta","Demanda alta / competencia baja o igual"),IF(Datos!J8&gt;Datos!$J$2,"Demanda baja / competencia alta","Demanda baja / competencia baja o igual")))</f>
        <v>Demanda alta / competencia alta</v>
      </c>
      <c r="K8" t="s">
        <v>316</v>
      </c>
    </row>
    <row r="9" spans="1:11">
      <c r="A9" t="s">
        <v>10</v>
      </c>
      <c r="B9" s="5">
        <f>Puntajes!M9</f>
        <v>76.65315617904507</v>
      </c>
      <c r="C9" s="5">
        <f>Puntajes!N9</f>
        <v>44.05903925401078</v>
      </c>
      <c r="D9" s="5">
        <f>Puntajes!J9</f>
        <v>76.7266132451878</v>
      </c>
      <c r="E9" s="5">
        <f>Puntajes!K9</f>
        <v>69.53689913622902</v>
      </c>
      <c r="F9" s="5">
        <f>Puntajes!L9</f>
        <v>76.30811875978705</v>
      </c>
      <c r="G9" s="5">
        <f>B9*'Parámetros'!$B$2+C9*'Parámetros'!$B$3+D9*'Parámetros'!$B$4+E9*'Parámetros'!$B$5+F9*'Parámetros'!$B$6</f>
        <v>68.62146459537892</v>
      </c>
      <c r="H9" s="5">
        <f>G9-$G$2</f>
        <v>-1.3785354046210756</v>
      </c>
      <c r="I9" t="str">
        <f>IF(G9&gt;='Parámetros'!$B$15,"Superior a referencia",IF(G9&gt;='Parámetros'!$B$16,"Cercano a referencia",IF(G9&gt;='Parámetros'!$B$17,"Inferior: requiere ajustes","Rezago importante")))</f>
        <v>Cercano a referencia</v>
      </c>
      <c r="J9" t="str">
        <f>IF(AND(Datos!D9&gt;=Datos!$D$2*'Parámetros'!$B$18,Datos!J9&lt;=Datos!$J$2*'Parámetros'!$B$19,C9&gt;='Parámetros'!$B$20,E9&gt;='Parámetros'!$B$20),"Oportunidad prioritaria condicionada",IF(Datos!D9&gt;=Datos!$D$2,IF(Datos!J9&gt;Datos!$J$2,"Demanda alta / competencia alta","Demanda alta / competencia baja o igual"),IF(Datos!J9&gt;Datos!$J$2,"Demanda baja / competencia alta","Demanda baja / competencia baja o igual")))</f>
        <v>Demanda alta / competencia alta</v>
      </c>
      <c r="K9" t="s">
        <v>316</v>
      </c>
    </row>
    <row r="10" spans="1:11">
      <c r="A10" t="s">
        <v>11</v>
      </c>
      <c r="B10" s="5">
        <f>Puntajes!M10</f>
        <v>48.55628168606326</v>
      </c>
      <c r="C10" s="5">
        <f>Puntajes!N10</f>
        <v>73.31215933757116</v>
      </c>
      <c r="D10" s="5">
        <f>Puntajes!J10</f>
        <v>38.647887323943664</v>
      </c>
      <c r="E10" s="5">
        <f>Puntajes!K10</f>
        <v>68.86620738231932</v>
      </c>
      <c r="F10" s="5">
        <f>Puntajes!L10</f>
        <v>0</v>
      </c>
      <c r="G10" s="5">
        <f>B10*'Parámetros'!$B$2+C10*'Parámetros'!$B$3+D10*'Parámetros'!$B$4+E10*'Parámetros'!$B$5+F10*'Parámetros'!$B$6</f>
        <v>49.780912896667175</v>
      </c>
      <c r="H10" s="5">
        <f>G10-$G$2</f>
        <v>-20.219087103332825</v>
      </c>
      <c r="I10" t="str">
        <f>IF(G10&gt;='Parámetros'!$B$15,"Superior a referencia",IF(G10&gt;='Parámetros'!$B$16,"Cercano a referencia",IF(G10&gt;='Parámetros'!$B$17,"Inferior: requiere ajustes","Rezago importante")))</f>
        <v>Rezago importante</v>
      </c>
      <c r="J10" t="str">
        <f>IF(AND(Datos!D10&gt;=Datos!$D$2*'Parámetros'!$B$18,Datos!J10&lt;=Datos!$J$2*'Parámetros'!$B$19,C10&gt;='Parámetros'!$B$20,E10&gt;='Parámetros'!$B$20),"Oportunidad prioritaria condicionada",IF(Datos!D10&gt;=Datos!$D$2,IF(Datos!J10&gt;Datos!$J$2,"Demanda alta / competencia alta","Demanda alta / competencia baja o igual"),IF(Datos!J10&gt;Datos!$J$2,"Demanda baja / competencia alta","Demanda baja / competencia baja o igual")))</f>
        <v>Demanda baja / competencia baja o igual</v>
      </c>
      <c r="K10" t="s">
        <v>316</v>
      </c>
    </row>
    <row r="11" spans="1:11">
      <c r="A11" t="s">
        <v>12</v>
      </c>
      <c r="B11" s="5">
        <f>Puntajes!M11</f>
        <v>75.90802242770928</v>
      </c>
      <c r="C11" s="5">
        <f>Puntajes!N11</f>
        <v>42.49291309531588</v>
      </c>
      <c r="D11" s="5">
        <f>Puntajes!J11</f>
        <v>77.86658299793616</v>
      </c>
      <c r="E11" s="5">
        <f>Puntajes!K11</f>
        <v>42.67134611456102</v>
      </c>
      <c r="F11" s="5">
        <f>Puntajes!L11</f>
        <v>57.299742685546136</v>
      </c>
      <c r="G11" s="5">
        <f>B11*'Parámetros'!$B$2+C11*'Parámetros'!$B$3+D11*'Parámetros'!$B$4+E11*'Parámetros'!$B$5+F11*'Parámetros'!$B$6</f>
        <v>63.628031797295414</v>
      </c>
      <c r="H11" s="5">
        <f>G11-$G$2</f>
        <v>-6.371968202704586</v>
      </c>
      <c r="I11" t="str">
        <f>IF(G11&gt;='Parámetros'!$B$15,"Superior a referencia",IF(G11&gt;='Parámetros'!$B$16,"Cercano a referencia",IF(G11&gt;='Parámetros'!$B$17,"Inferior: requiere ajustes","Rezago importante")))</f>
        <v>Inferior: requiere ajustes</v>
      </c>
      <c r="J11" t="str">
        <f>IF(AND(Datos!D11&gt;=Datos!$D$2*'Parámetros'!$B$18,Datos!J11&lt;=Datos!$J$2*'Parámetros'!$B$19,C11&gt;='Parámetros'!$B$20,E11&gt;='Parámetros'!$B$20),"Oportunidad prioritaria condicionada",IF(Datos!D11&gt;=Datos!$D$2,IF(Datos!J11&gt;Datos!$J$2,"Demanda alta / competencia alta","Demanda alta / competencia baja o igual"),IF(Datos!J11&gt;Datos!$J$2,"Demanda baja / competencia alta","Demanda baja / competencia baja o igual")))</f>
        <v>Demanda alta / competencia baja o igual</v>
      </c>
      <c r="K11" t="s">
        <v>316</v>
      </c>
    </row>
    <row r="12" spans="1:11">
      <c r="A12" t="s">
        <v>13</v>
      </c>
      <c r="B12" s="5">
        <f>Puntajes!M12</f>
        <v>57.434915629653105</v>
      </c>
      <c r="C12" s="5">
        <f>Puntajes!N12</f>
        <v>41.17410329674873</v>
      </c>
      <c r="D12" s="5">
        <f>Puntajes!J12</f>
        <v>73.24675324675324</v>
      </c>
      <c r="E12" s="5">
        <f>Puntajes!K12</f>
        <v>81.78335026191445</v>
      </c>
      <c r="F12" s="5">
        <f>Puntajes!L12</f>
        <v>0</v>
      </c>
      <c r="G12" s="5">
        <f>B12*'Parámetros'!$B$2+C12*'Parámetros'!$B$3+D12*'Parámetros'!$B$4+E12*'Parámetros'!$B$5+F12*'Parámetros'!$B$6</f>
        <v>56.611870354701296</v>
      </c>
      <c r="H12" s="5">
        <f>G12-$G$2</f>
        <v>-13.388129645298704</v>
      </c>
      <c r="I12" t="str">
        <f>IF(G12&gt;='Parámetros'!$B$15,"Superior a referencia",IF(G12&gt;='Parámetros'!$B$16,"Cercano a referencia",IF(G12&gt;='Parámetros'!$B$17,"Inferior: requiere ajustes","Rezago importante")))</f>
        <v>Inferior: requiere ajustes</v>
      </c>
      <c r="J12" t="str">
        <f>IF(AND(Datos!D12&gt;=Datos!$D$2*'Parámetros'!$B$18,Datos!J12&lt;=Datos!$J$2*'Parámetros'!$B$19,C12&gt;='Parámetros'!$B$20,E12&gt;='Parámetros'!$B$20),"Oportunidad prioritaria condicionada",IF(Datos!D12&gt;=Datos!$D$2,IF(Datos!J12&gt;Datos!$J$2,"Demanda alta / competencia alta","Demanda alta / competencia baja o igual"),IF(Datos!J12&gt;Datos!$J$2,"Demanda baja / competencia alta","Demanda baja / competencia baja o igual")))</f>
        <v>Demanda alta / competencia baja o igual</v>
      </c>
      <c r="K12" t="s">
        <v>316</v>
      </c>
    </row>
    <row r="13" spans="1:11">
      <c r="A13" t="s">
        <v>14</v>
      </c>
      <c r="B13" s="5">
        <f>Puntajes!M13</f>
        <v>72.33860760817402</v>
      </c>
      <c r="C13" s="5">
        <f>Puntajes!N13</f>
        <v>40.75831974427186</v>
      </c>
      <c r="D13" s="5">
        <f>Puntajes!J13</f>
        <v>69.70929895165737</v>
      </c>
      <c r="E13" s="5">
        <f>Puntajes!K13</f>
        <v>60.05720615518553</v>
      </c>
      <c r="F13" s="5">
        <f>Puntajes!L13</f>
        <v>36.15785702611612</v>
      </c>
      <c r="G13" s="5">
        <f>B13*'Parámetros'!$B$2+C13*'Parámetros'!$B$3+D13*'Parámetros'!$B$4+E13*'Parámetros'!$B$5+F13*'Parámetros'!$B$6</f>
        <v>60.28650963336764</v>
      </c>
      <c r="H13" s="5">
        <f>G13-$G$2</f>
        <v>-9.713490366632357</v>
      </c>
      <c r="I13" t="str">
        <f>IF(G13&gt;='Parámetros'!$B$15,"Superior a referencia",IF(G13&gt;='Parámetros'!$B$16,"Cercano a referencia",IF(G13&gt;='Parámetros'!$B$17,"Inferior: requiere ajustes","Rezago importante")))</f>
        <v>Inferior: requiere ajustes</v>
      </c>
      <c r="J13" t="str">
        <f>IF(AND(Datos!D13&gt;=Datos!$D$2*'Parámetros'!$B$18,Datos!J13&lt;=Datos!$J$2*'Parámetros'!$B$19,C13&gt;='Parámetros'!$B$20,E13&gt;='Parámetros'!$B$20),"Oportunidad prioritaria condicionada",IF(Datos!D13&gt;=Datos!$D$2,IF(Datos!J13&gt;Datos!$J$2,"Demanda alta / competencia alta","Demanda alta / competencia baja o igual"),IF(Datos!J13&gt;Datos!$J$2,"Demanda baja / competencia alta","Demanda baja / competencia baja o igual")))</f>
        <v>Demanda alta / competencia alta</v>
      </c>
      <c r="K13" t="s">
        <v>316</v>
      </c>
    </row>
  </sheetData>
  <autoFilter ref="A1:K13"/>
  <conditionalFormatting sqref="B2:G13">
    <cfRule type="colorScale" priority="1">
      <colorScale>
        <cfvo type="num" val="0"/>
        <cfvo type="num" val="70"/>
        <cfvo type="num" val="100"/>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Fuente_Hoja1</vt:lpstr>
      <vt:lpstr>Fuente_PRECIO</vt:lpstr>
      <vt:lpstr>Fuente_Hoja4</vt:lpstr>
      <vt:lpstr>Guía</vt:lpstr>
      <vt:lpstr>Parámetros</vt:lpstr>
      <vt:lpstr>Datos</vt:lpstr>
      <vt:lpstr>Puntajes</vt:lpstr>
      <vt:lpstr>Resultados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2026-10-21T14:28:57Z</dcterms:created>
  <dcterms:modified xsi:type="dcterms:W3CDTF">2026-10-21T14:28:57Z</dcterms:modified>
</cp:coreProperties>
</file>